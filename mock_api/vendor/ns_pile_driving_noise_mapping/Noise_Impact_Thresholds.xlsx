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BeslinW\Documents\Science and Conservation\Wind Energy Noise\Thresholds\"/>
    </mc:Choice>
  </mc:AlternateContent>
  <xr:revisionPtr revIDLastSave="0" documentId="13_ncr:1_{EE5B962C-7459-4F87-82E4-22B6A9D141E7}" xr6:coauthVersionLast="47" xr6:coauthVersionMax="47" xr10:uidLastSave="{00000000-0000-0000-0000-000000000000}"/>
  <bookViews>
    <workbookView xWindow="28680" yWindow="-120" windowWidth="29040" windowHeight="15720" xr2:uid="{AA86A914-8562-4D34-A83E-9F4A4EED7A25}"/>
  </bookViews>
  <sheets>
    <sheet name="Thresholds" sheetId="1" r:id="rId1"/>
    <sheet name="NMFS2024_MammalWeightingParams" sheetId="3" r:id="rId2"/>
    <sheet name="Species" sheetId="4" r:id="rId3"/>
    <sheet name="Info" sheetId="2" r:id="rId4"/>
    <sheet name="Referenc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4" l="1" a="1"/>
  <c r="K3" i="4" s="1"/>
  <c r="K4" i="4" a="1"/>
  <c r="K4" i="4" s="1"/>
  <c r="K5" i="4" a="1"/>
  <c r="K5" i="4"/>
  <c r="K6" i="4" a="1"/>
  <c r="K6" i="4"/>
  <c r="K7" i="4" a="1"/>
  <c r="K7" i="4"/>
  <c r="K8" i="4" a="1"/>
  <c r="K8" i="4"/>
  <c r="K9" i="4" a="1"/>
  <c r="K9" i="4" s="1"/>
  <c r="K10" i="4" a="1"/>
  <c r="K10" i="4" s="1"/>
  <c r="K11" i="4" a="1"/>
  <c r="K11" i="4" s="1"/>
  <c r="K12" i="4" a="1"/>
  <c r="K12" i="4"/>
  <c r="K13" i="4" a="1"/>
  <c r="K13" i="4"/>
  <c r="K14" i="4" a="1"/>
  <c r="K14" i="4" s="1"/>
  <c r="K15" i="4" a="1"/>
  <c r="K15" i="4" s="1"/>
  <c r="K16" i="4" a="1"/>
  <c r="K16" i="4" s="1"/>
  <c r="K17" i="4" a="1"/>
  <c r="K17" i="4" s="1"/>
  <c r="K18" i="4" a="1"/>
  <c r="K18" i="4" s="1"/>
  <c r="K19" i="4" a="1"/>
  <c r="K19" i="4" s="1"/>
  <c r="K20" i="4" a="1"/>
  <c r="K20" i="4"/>
  <c r="K21" i="4" a="1"/>
  <c r="K21" i="4"/>
  <c r="K22" i="4" a="1"/>
  <c r="K22" i="4"/>
  <c r="K23" i="4" a="1"/>
  <c r="K23" i="4" s="1"/>
  <c r="K24" i="4" a="1"/>
  <c r="K24" i="4" s="1"/>
  <c r="K25" i="4" a="1"/>
  <c r="K25" i="4"/>
  <c r="K26" i="4" a="1"/>
  <c r="K26" i="4" s="1"/>
  <c r="K27" i="4" a="1"/>
  <c r="K27" i="4"/>
  <c r="K28" i="4" a="1"/>
  <c r="K28" i="4"/>
  <c r="K29" i="4" a="1"/>
  <c r="K29" i="4" s="1"/>
  <c r="K30" i="4" a="1"/>
  <c r="K30" i="4" s="1"/>
  <c r="K31" i="4" a="1"/>
  <c r="K31" i="4"/>
  <c r="K32" i="4" a="1"/>
  <c r="K32" i="4"/>
  <c r="K33" i="4" a="1"/>
  <c r="K33" i="4"/>
  <c r="K34" i="4" a="1"/>
  <c r="K34" i="4" s="1"/>
  <c r="K35" i="4" a="1"/>
  <c r="K35" i="4" s="1"/>
  <c r="K36" i="4" a="1"/>
  <c r="K36" i="4"/>
  <c r="K37" i="4" a="1"/>
  <c r="K37" i="4"/>
  <c r="K38" i="4" a="1"/>
  <c r="K38" i="4" s="1"/>
  <c r="K39" i="4" a="1"/>
  <c r="K39" i="4" s="1"/>
  <c r="K40" i="4" a="1"/>
  <c r="K40" i="4"/>
  <c r="K41" i="4" a="1"/>
  <c r="K41" i="4"/>
  <c r="K42" i="4" a="1"/>
  <c r="K42" i="4"/>
  <c r="K43" i="4" a="1"/>
  <c r="K43" i="4"/>
  <c r="K44" i="4" a="1"/>
  <c r="K44" i="4" s="1"/>
  <c r="K45" i="4" a="1"/>
  <c r="K45" i="4" s="1"/>
  <c r="K46" i="4" a="1"/>
  <c r="K46" i="4"/>
  <c r="K47" i="4" a="1"/>
  <c r="K47" i="4"/>
  <c r="K48" i="4" a="1"/>
  <c r="K48" i="4" s="1"/>
  <c r="K49" i="4" a="1"/>
  <c r="K49" i="4"/>
  <c r="K50" i="4" a="1"/>
  <c r="K50" i="4" s="1"/>
  <c r="K51" i="4" a="1"/>
  <c r="K51" i="4" s="1"/>
  <c r="K52" i="4" a="1"/>
  <c r="K52" i="4" s="1"/>
  <c r="K53" i="4" a="1"/>
  <c r="K53" i="4"/>
  <c r="K54" i="4" a="1"/>
  <c r="K54" i="4"/>
  <c r="K55" i="4" a="1"/>
  <c r="K55" i="4"/>
  <c r="K56" i="4" a="1"/>
  <c r="K56" i="4"/>
  <c r="K57" i="4" a="1"/>
  <c r="K57" i="4"/>
  <c r="K58" i="4" a="1"/>
  <c r="K58" i="4" s="1"/>
  <c r="K59" i="4" a="1"/>
  <c r="K59" i="4" s="1"/>
  <c r="K60" i="4" a="1"/>
  <c r="K60" i="4"/>
  <c r="K61" i="4" a="1"/>
  <c r="K61" i="4"/>
  <c r="K62" i="4" a="1"/>
  <c r="K62" i="4" s="1"/>
  <c r="K2" i="4" a="1"/>
  <c r="K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<sst xmlns="http://schemas.openxmlformats.org/spreadsheetml/2006/main" count="1108" uniqueCount="325">
  <si>
    <t>HearingGroup</t>
  </si>
  <si>
    <t>Impact</t>
  </si>
  <si>
    <t>SourceType</t>
  </si>
  <si>
    <t>Metric</t>
  </si>
  <si>
    <t>TTS</t>
  </si>
  <si>
    <t>Impulsive</t>
  </si>
  <si>
    <t>SPL_peak</t>
  </si>
  <si>
    <t>Reference</t>
  </si>
  <si>
    <t>LF Cetaceans</t>
  </si>
  <si>
    <t>Mortality</t>
  </si>
  <si>
    <t>SEL_cum</t>
  </si>
  <si>
    <t>HF Cetaceans</t>
  </si>
  <si>
    <t>VHF Cetaceans</t>
  </si>
  <si>
    <t>Fish - No Swim Bladder</t>
  </si>
  <si>
    <t>AUD INJ</t>
  </si>
  <si>
    <t>Non-Impulsive</t>
  </si>
  <si>
    <t>Pile Driving</t>
  </si>
  <si>
    <t>REC INJ</t>
  </si>
  <si>
    <t>Description</t>
  </si>
  <si>
    <t>Any impulsive noise source such as impact pile driving or seismic air gun pulses, as defined by NMFS (2024)</t>
  </si>
  <si>
    <t>Impact pile driving, as defined by Popper et al. (2014)</t>
  </si>
  <si>
    <t>Continuous</t>
  </si>
  <si>
    <t>Shipping and other continuous noise sources, as defined by Popper et al. (2014)</t>
  </si>
  <si>
    <t>Temporary hearing threshold shift</t>
  </si>
  <si>
    <t>Auditory injury, as defined by NMFS (2024)</t>
  </si>
  <si>
    <t>Injuries causing certain or potential death, as defined by Popper et al. (2014)</t>
  </si>
  <si>
    <t>Low-frequency cetaceans (i.e., mysticetes)</t>
  </si>
  <si>
    <t>Very high-frequency cetaceans (some odontocetes including porpoises, kogia, and some dolphins)</t>
  </si>
  <si>
    <t>Fish - Non-Auditory Swim Bladder</t>
  </si>
  <si>
    <t>Fish with swim bladders and/or air sacs that are not involved in hearing</t>
  </si>
  <si>
    <t>Fish with no swim bladders or air sacs</t>
  </si>
  <si>
    <t>Fish - Auditory Swim Bladder</t>
  </si>
  <si>
    <t>Fish with swim bladders and/or air sacs that are involved in hearing</t>
  </si>
  <si>
    <t>Fish - Eggs and Larvae</t>
  </si>
  <si>
    <t>Eggs and larvae of fish</t>
  </si>
  <si>
    <t>Sea Turtles</t>
  </si>
  <si>
    <t>Sea turtles</t>
  </si>
  <si>
    <r>
      <t xml:space="preserve">Peak sound pressure level, measured in dB re 1 </t>
    </r>
    <r>
      <rPr>
        <sz val="11"/>
        <color theme="1"/>
        <rFont val="Aptos Narrow"/>
        <family val="2"/>
      </rPr>
      <t>μPa (in water)</t>
    </r>
  </si>
  <si>
    <t>SPL_rms</t>
  </si>
  <si>
    <t>Root-mean-square sound pressure level, measured in dB re 1 μPa (in water)</t>
  </si>
  <si>
    <t>NA</t>
  </si>
  <si>
    <t>HoursOfExposure</t>
  </si>
  <si>
    <r>
      <t xml:space="preserve">Cumulative sound exposure level, measured in dB re 1 </t>
    </r>
    <r>
      <rPr>
        <sz val="11"/>
        <color theme="1"/>
        <rFont val="Aptos Narrow"/>
        <family val="2"/>
      </rPr>
      <t>μPa</t>
    </r>
    <r>
      <rPr>
        <vertAlign val="superscript"/>
        <sz val="11"/>
        <color theme="1"/>
        <rFont val="Aptos Narrow"/>
        <family val="2"/>
      </rPr>
      <t>2</t>
    </r>
    <r>
      <rPr>
        <sz val="11"/>
        <color theme="1"/>
        <rFont val="Aptos Narrow"/>
        <family val="2"/>
      </rPr>
      <t>∙s</t>
    </r>
    <r>
      <rPr>
        <sz val="11"/>
        <color theme="1"/>
        <rFont val="Aptos Narrow"/>
        <family val="2"/>
        <scheme val="minor"/>
      </rPr>
      <t xml:space="preserve"> (in water)</t>
    </r>
  </si>
  <si>
    <t>SPL_cum</t>
  </si>
  <si>
    <t>a</t>
  </si>
  <si>
    <t>b</t>
  </si>
  <si>
    <t>f1</t>
  </si>
  <si>
    <t>f2</t>
  </si>
  <si>
    <t>C</t>
  </si>
  <si>
    <t>Phocids Underwater</t>
  </si>
  <si>
    <t>Phocid pinnipeds underwater</t>
  </si>
  <si>
    <t>Species_CommonName</t>
  </si>
  <si>
    <t>Species_ScientificName</t>
  </si>
  <si>
    <t>Striped Bass</t>
  </si>
  <si>
    <t>PriorityGroup</t>
  </si>
  <si>
    <t>Morone saxatilis</t>
  </si>
  <si>
    <t>American Eel</t>
  </si>
  <si>
    <t>Anguilla rostrata</t>
  </si>
  <si>
    <t>Atlantic Salmon</t>
  </si>
  <si>
    <t>Salmo salar</t>
  </si>
  <si>
    <t>Atlantic Sturgeon</t>
  </si>
  <si>
    <t>Acipenser oxyrinchus</t>
  </si>
  <si>
    <t>Atlantic Cod</t>
  </si>
  <si>
    <t>Gadus morhua</t>
  </si>
  <si>
    <t>White Hake</t>
  </si>
  <si>
    <t>Urophycis tenuis</t>
  </si>
  <si>
    <t>American Plaice</t>
  </si>
  <si>
    <t>Hippoglossoides platessoides</t>
  </si>
  <si>
    <t>Acadian Redfish</t>
  </si>
  <si>
    <t>Sebastes fasciatus</t>
  </si>
  <si>
    <t>Deepwater Redfish</t>
  </si>
  <si>
    <t>Sebastes mentella</t>
  </si>
  <si>
    <t>Smooth Skate</t>
  </si>
  <si>
    <t>Malacoraja senta</t>
  </si>
  <si>
    <t>Winter Skate</t>
  </si>
  <si>
    <t>Leucoraja ocellata</t>
  </si>
  <si>
    <t>Atlantic Wolffish</t>
  </si>
  <si>
    <t>Anarhichas lupus</t>
  </si>
  <si>
    <t>Atlantic Bluefin Tuna</t>
  </si>
  <si>
    <t>Thunnus thynnus</t>
  </si>
  <si>
    <t>Atlantic Albacore</t>
  </si>
  <si>
    <t>Thunnus alalunga</t>
  </si>
  <si>
    <t>Atlantic Bigeye Tuna</t>
  </si>
  <si>
    <t>Thunnus obesus</t>
  </si>
  <si>
    <t>Atlantic Yellowfin Tuna</t>
  </si>
  <si>
    <t>Thunnus albacares</t>
  </si>
  <si>
    <t>Atlantic Swordfish</t>
  </si>
  <si>
    <t>Xiphias gladius</t>
  </si>
  <si>
    <t>White Marlin</t>
  </si>
  <si>
    <t>Kajikia albida</t>
  </si>
  <si>
    <t>Capelin</t>
  </si>
  <si>
    <t>Mallotus villosus</t>
  </si>
  <si>
    <t>Atlantic Herring</t>
  </si>
  <si>
    <t>Clupea harengus</t>
  </si>
  <si>
    <t>Atlantic Mackerel</t>
  </si>
  <si>
    <t>Scomber scombrus L.</t>
  </si>
  <si>
    <t>Basking Shark</t>
  </si>
  <si>
    <t>Cetorhinus maximus</t>
  </si>
  <si>
    <t>Spiny Dogfish</t>
  </si>
  <si>
    <t>Squalus acanthias</t>
  </si>
  <si>
    <t>Porbeagle Shark</t>
  </si>
  <si>
    <t>Lamna nasus</t>
  </si>
  <si>
    <t>Shortfin Mako</t>
  </si>
  <si>
    <t>Isurus oxyrinchus</t>
  </si>
  <si>
    <t>White Shark</t>
  </si>
  <si>
    <t>Carcharodon carcharias</t>
  </si>
  <si>
    <t>Leatherback Sea Turtle</t>
  </si>
  <si>
    <t>Dermochelys coriacea</t>
  </si>
  <si>
    <t>Loggerhead Sea Turtle</t>
  </si>
  <si>
    <t>Caretta caretta</t>
  </si>
  <si>
    <t>Green Turtle</t>
  </si>
  <si>
    <t>Chelonia mydas</t>
  </si>
  <si>
    <t>Kemp's Ridley Turtle</t>
  </si>
  <si>
    <t>Lepidochelys kempii</t>
  </si>
  <si>
    <t>Blue Whale</t>
  </si>
  <si>
    <t>Balaenoptera musculus</t>
  </si>
  <si>
    <t>Fin Whale</t>
  </si>
  <si>
    <t>Balaenoptera physalus</t>
  </si>
  <si>
    <t>Sei Whale</t>
  </si>
  <si>
    <t>Balaenoptera borealis</t>
  </si>
  <si>
    <t>Minke Whale</t>
  </si>
  <si>
    <t>Balaenoptera  acutorostrata</t>
  </si>
  <si>
    <t>Humpback Whale</t>
  </si>
  <si>
    <t>Megaptera novaeangliae</t>
  </si>
  <si>
    <t>North Atlantic Right Whale</t>
  </si>
  <si>
    <t>Eubalaena glacialis</t>
  </si>
  <si>
    <t>Sperm Whale</t>
  </si>
  <si>
    <t>Physeter macrocephalus</t>
  </si>
  <si>
    <t>Northern Bottlenose Whale</t>
  </si>
  <si>
    <t>Hyperoodon ampullatus</t>
  </si>
  <si>
    <t>Sowerby's Beaked Whale</t>
  </si>
  <si>
    <t>Mesoplodon bidens</t>
  </si>
  <si>
    <t>Goose Beaked Whale</t>
  </si>
  <si>
    <t>Ziphius cavirostris</t>
  </si>
  <si>
    <t>True's Beaked Whale</t>
  </si>
  <si>
    <t>Mesoplodon mirus</t>
  </si>
  <si>
    <t>Killer Whale</t>
  </si>
  <si>
    <t>Orcinus orca</t>
  </si>
  <si>
    <t>Long-Finned Pilot Whale</t>
  </si>
  <si>
    <t>Globicephala melas</t>
  </si>
  <si>
    <t>Atlantic White-Sided Dolphin</t>
  </si>
  <si>
    <t>Lagenorhynchus acutus</t>
  </si>
  <si>
    <t>Short-Beaked Common Dolphin</t>
  </si>
  <si>
    <t>Delphinus delphis</t>
  </si>
  <si>
    <t>Harbour Porpoise</t>
  </si>
  <si>
    <t>Phocoena phocoena</t>
  </si>
  <si>
    <t>Grey Seal</t>
  </si>
  <si>
    <t>Halichoerus grypus</t>
  </si>
  <si>
    <t>Harbour Seal</t>
  </si>
  <si>
    <t>Phoca vitulina</t>
  </si>
  <si>
    <t>No Status</t>
  </si>
  <si>
    <t>Threatened</t>
  </si>
  <si>
    <t>Endangered</t>
  </si>
  <si>
    <t>Special Concern</t>
  </si>
  <si>
    <t>Not Assessed</t>
  </si>
  <si>
    <t>Under Evaluation</t>
  </si>
  <si>
    <t>Not at Risk</t>
  </si>
  <si>
    <t>Comments</t>
  </si>
  <si>
    <t>Harp Seal</t>
  </si>
  <si>
    <t>Pagophilus groenlandicus</t>
  </si>
  <si>
    <t>Dwarf Sperm Whale</t>
  </si>
  <si>
    <t>Pygmy Sperm Whale</t>
  </si>
  <si>
    <t>Kogia breviceps</t>
  </si>
  <si>
    <t>Kogia sima</t>
  </si>
  <si>
    <t>Data Deficient</t>
  </si>
  <si>
    <t xml:space="preserve">Any non-impulsive noise such as ship noise or some forms of sonar, as defined by NMFS (2024). Note that non-impulsive sounds are not necessarily continuous - they can be intermittent as well. </t>
  </si>
  <si>
    <t>Citation</t>
  </si>
  <si>
    <t>All Marine Mammals Underwater</t>
  </si>
  <si>
    <t>Non-Explosive Impulsive</t>
  </si>
  <si>
    <t>Disturbance</t>
  </si>
  <si>
    <t>All marine mammals underwater. This is a meta-group that encompases all marine mammal hearing groups.</t>
  </si>
  <si>
    <t>Fish - Large</t>
  </si>
  <si>
    <t>Fish - Small</t>
  </si>
  <si>
    <t>All fish with a mass of at least 2 g</t>
  </si>
  <si>
    <t>All fish with a mass less than 2 g</t>
  </si>
  <si>
    <t>PHYS INJ</t>
  </si>
  <si>
    <t>IsWeighted</t>
  </si>
  <si>
    <t>Fish - All</t>
  </si>
  <si>
    <t>All</t>
  </si>
  <si>
    <t>Not a formal threshold and its origins are unclear; viewed by NMFS as "a level where one can begin to look at potential responses"</t>
  </si>
  <si>
    <t>NMFS 2024</t>
  </si>
  <si>
    <t>NMFS 2025</t>
  </si>
  <si>
    <t>Popper et al. 2014</t>
  </si>
  <si>
    <t xml:space="preserve">National Marine Fisheries Service (2024). "Update to: Technical Guidance for Assessing the Effects of Anthropogenic Sound on Marine Mammal Hearing (Version 3.0): Underwater and In-Air Criteria for Onset of Auditory Injury and Temporary Threshold Shifts," U.S. Dept. of Commer., NOAA. NOAA Technical Memorandum NMFS-OPR-71, 182 p.									</t>
  </si>
  <si>
    <t xml:space="preserve">National Marine Fisheries Service (2025). “National Marine Fisheries Service: Summary of Endangered Species Act Recommended Acoustic Thresholds (Marine Mammals, Fishes, and Sea Turtles),” Silver Spring, Maryland: NMFS, Office of Protected Resources									</t>
  </si>
  <si>
    <t>Popper, A., Hawkins, A., Fay, R., Mann, D., Bartol, S., Carlson, T., Coombs, S., et al. (2014). Sound Exposure Guidelines for Fishes and Sea Turtles: A Technical Report prepared by ANSI-Accredited Standards Committee S3/SC1 and registered with ANSI ( No. ASA S3/SC1.4 TR-2014), Springer Briefs in Oceanography, Acoustical Society of America. doi:10.1007/978-3-319-06659-2</t>
  </si>
  <si>
    <t>Physical injury, as defined by NMFS (2025). However, the abbreviation PHYS INJ is unique to this workbook.</t>
  </si>
  <si>
    <t>Recoverable injury, as defined by Popper et al. (2014). However, the abbreviation REC INJ is unique to this workbook.</t>
  </si>
  <si>
    <t>All impulsive or pulse-like intermittent sounds except for explosives, as defined by NMFS (2025)</t>
  </si>
  <si>
    <t>All types of noise</t>
  </si>
  <si>
    <t>Indicates that noise levels should be weighted according to an animal's hearing sensitivity across frequency</t>
  </si>
  <si>
    <t>Indicates the noise levels should not be weighted (flat levels)</t>
  </si>
  <si>
    <t>Authors do not specify if noise levels should be weighted or not</t>
  </si>
  <si>
    <t>Frequency weighting not recommended due to insufficient data</t>
  </si>
  <si>
    <t>Population</t>
  </si>
  <si>
    <t>Bay of Fundy</t>
  </si>
  <si>
    <t>Southern Gulf of St. Lawrence</t>
  </si>
  <si>
    <t>Southern Gulf of St. Lawrence and Cape Breton</t>
  </si>
  <si>
    <t>Nova Scotia Southern Upland East</t>
  </si>
  <si>
    <t>Nova Scotia Southern Upland West</t>
  </si>
  <si>
    <t>COSEWIC_Assessment</t>
  </si>
  <si>
    <t>2025-12</t>
  </si>
  <si>
    <t>2012-05</t>
  </si>
  <si>
    <t>2012-11</t>
  </si>
  <si>
    <t>Maritimes</t>
  </si>
  <si>
    <t>GENERAL</t>
  </si>
  <si>
    <t>2011-05</t>
  </si>
  <si>
    <t>Southern</t>
  </si>
  <si>
    <t>SARA_Schedule_1</t>
  </si>
  <si>
    <t>SARA_Schedule_2</t>
  </si>
  <si>
    <t>SARA_Schedule_3</t>
  </si>
  <si>
    <t>2010-04</t>
  </si>
  <si>
    <t>Atlantic and Northern Gulf of St. Lawrence</t>
  </si>
  <si>
    <t>2013-11</t>
  </si>
  <si>
    <t>2009-04</t>
  </si>
  <si>
    <t>Atlantic</t>
  </si>
  <si>
    <t>Northwest Atlantic</t>
  </si>
  <si>
    <t>2022-05</t>
  </si>
  <si>
    <t>COSEWIC assessed this species/population as Threatened in April 1990/1991 before changing it to Special Concern in May 2003 onwards</t>
  </si>
  <si>
    <t>Gulf of St. Lawrence - Laurentian Channel</t>
  </si>
  <si>
    <t>Laurentian-Scotian</t>
  </si>
  <si>
    <t>Eastern Scotian Shelf - Newfoundland</t>
  </si>
  <si>
    <t>2015-05</t>
  </si>
  <si>
    <t>Not in Table A2 of Curran et al. 2025</t>
  </si>
  <si>
    <t>Blueback Herring</t>
  </si>
  <si>
    <t>Alosa aestivalis</t>
  </si>
  <si>
    <t>1980-04</t>
  </si>
  <si>
    <t>Not mentioned in Curran et al. 2025</t>
  </si>
  <si>
    <t>2009-11</t>
  </si>
  <si>
    <t>2014-05</t>
  </si>
  <si>
    <t>2019-05</t>
  </si>
  <si>
    <t>2021-05</t>
  </si>
  <si>
    <t>COSEWIC_DateLastAssessed</t>
  </si>
  <si>
    <t>2022-12</t>
  </si>
  <si>
    <t>Blainville's Beaked Whale</t>
  </si>
  <si>
    <t>Mesoplodon densirostris</t>
  </si>
  <si>
    <t>1989-04</t>
  </si>
  <si>
    <t>Status changed from Special Concern on Schedule 3 to Endangered on Schedule 1 in 2005</t>
  </si>
  <si>
    <t>2006-04</t>
  </si>
  <si>
    <t>1990-04</t>
  </si>
  <si>
    <t>1997-04</t>
  </si>
  <si>
    <t>Status changed from Special Concern on Schedule 3 to Special Concern on Schedule 1 in 2006-08</t>
  </si>
  <si>
    <t>Western North Atlantic</t>
  </si>
  <si>
    <t>2003-05</t>
  </si>
  <si>
    <t>Northwest Atlantic / Eastern Arctic</t>
  </si>
  <si>
    <t>2023-12</t>
  </si>
  <si>
    <t>1994-04</t>
  </si>
  <si>
    <t>Previously on Schedule 2 before migrating to Schedule 1 in 2005-01</t>
  </si>
  <si>
    <t>Scotian Shelf</t>
  </si>
  <si>
    <t>Status changed from Special Concern on Schedule 3 to Endangered on Schedule 1 in 2006-04</t>
  </si>
  <si>
    <t>2024-11</t>
  </si>
  <si>
    <t>Status changed from Special Concern on Schedule 3 to Special Concern on Schedule 1 in 2011-06</t>
  </si>
  <si>
    <t>1996-04</t>
  </si>
  <si>
    <t>1991-04</t>
  </si>
  <si>
    <t>Bottlenose Dolphin</t>
  </si>
  <si>
    <t>Tursiops truncatus</t>
  </si>
  <si>
    <t>1993-04</t>
  </si>
  <si>
    <t>Risso's Dolphin</t>
  </si>
  <si>
    <t>Grampus griseus</t>
  </si>
  <si>
    <t>Striped Dolphin</t>
  </si>
  <si>
    <t>Stenella coeruleoalba</t>
  </si>
  <si>
    <t>White-Beaked Dolphin</t>
  </si>
  <si>
    <t>Lagenorhynchus albirostris</t>
  </si>
  <si>
    <t>1998-04</t>
  </si>
  <si>
    <t>1999-04</t>
  </si>
  <si>
    <t>Atlantic and Eastern Arctic</t>
  </si>
  <si>
    <t>2007-11</t>
  </si>
  <si>
    <t>Fish - No Swim Bladder*</t>
  </si>
  <si>
    <t>Fish - Swim Bladder Role Unknown*</t>
  </si>
  <si>
    <t>This species is unusual in its genus for not having a swim bladder. Not in Table A2 of Curran et al. 2025.</t>
  </si>
  <si>
    <t>Fish - Unknown*</t>
  </si>
  <si>
    <t>Chanet and Guintard 2019</t>
  </si>
  <si>
    <t>HearingGroup_References</t>
  </si>
  <si>
    <t>Southall et al. 2019</t>
  </si>
  <si>
    <t>Under Consideration</t>
  </si>
  <si>
    <t>Listing Declined</t>
  </si>
  <si>
    <t>Was treated as two separate populations prior to December 2025</t>
  </si>
  <si>
    <t>Was treated as a single population with Nova Scotia Southern Upland West prior to December 2025</t>
  </si>
  <si>
    <t>Was treated as a single population with Nova Scotia Southern Upland East prior to December 2025</t>
  </si>
  <si>
    <t>Population structure was revised over time. Originally on SARA Schedule 3 as Special Concern under one population (the SARA registry for Schedule 3 still includes this species). Schedule 1 listing of the species was previously declined in 2006-04.</t>
  </si>
  <si>
    <t>Listing on Schedule 1 was previously declined on 2013-03; COSEWIC assessment at the time was Threatened</t>
  </si>
  <si>
    <t>Listing on Schedule 1 was previously declined on 2006-08-15</t>
  </si>
  <si>
    <t>COSEWIC initially assessed it as Threatened, then Special Concern, then Endangered</t>
  </si>
  <si>
    <t>Previously recognized as Data Deficient</t>
  </si>
  <si>
    <t>Fish - Swim Bladder Role Unknown</t>
  </si>
  <si>
    <t>Popper and Calfee 2023</t>
  </si>
  <si>
    <t>Popper et al. 2020</t>
  </si>
  <si>
    <t>Popper and Fay 2011 (indirect)</t>
  </si>
  <si>
    <t>Rountree 2002</t>
  </si>
  <si>
    <t>Fish - Swim Blader Role Unknown</t>
  </si>
  <si>
    <t>Fish with a swim bladder but the bladder's involvement in hearing is not known</t>
  </si>
  <si>
    <t>Popper, A. N., Hawkins, A. D., Jacobs, F., Jacobson, P. T., Johnson, P., and Krebs, J. (2020). “Use of sound to guide the movement of eels and other fishes within rivers: a critical review,” Rev. Fish Biol. Fish., 30, 605–622. doi:10.1007/s11160-020-09620-0</t>
  </si>
  <si>
    <t>Popper, A. N., and Calfee, R. D. (2023). “Sound and sturgeon: Bioacoustics and anthropogenic sound,” J. Acoust. Soc. Am., 154, 2021–2035. doi:10.1121/10.0021166</t>
  </si>
  <si>
    <t>Popper and Fay 2011</t>
  </si>
  <si>
    <t>Popper, A. N., and Fay, R. R. (2011). “Rethinking sound detection by fishes,” Comp. Stud. Ear, 273, 25–36. doi:10.1016/j.heares.2009.12.023</t>
  </si>
  <si>
    <t>Rountree, R. A. (2002). “Wolffishes. Family Anarhichadidae,” In B. B. Collette and G. Klein-MacPhee (Eds.), Bigelow Schroeders Fishes Gulf Maine, Smithsonian Institute Press, Washington, DC, 3rd ed., pp. 485–496.</t>
  </si>
  <si>
    <t>Chanet, B., and Guintard, C. (2019). “The absence of gas bladder in the Atlantic mackerel Scomber scombrus Linnaeus, 1758 (Actinopterygii: Teleostei: Scombridae). A review,” Cah. Biol. Mar., 60, 299–302. doi:10.21411/CBM.A.5E61C2F2</t>
  </si>
  <si>
    <t>Southall, B. L., Finneran, J. J., Reichmuth, C., Nachtigall, P. E., Ketten, D. R., Bowles, A. E., Ellison, W. T., et al. (2019). “Marine Mammal Noise Exposure Criteria: Updated Scientific Recommendations for Residual Hearing Effects,” Aquat. Mamm., 45, 125–232. doi:10.1578/am.45.2.2019.125</t>
  </si>
  <si>
    <t>Fish - Unknown</t>
  </si>
  <si>
    <t>The appropriate hearing group for a fish species is not known at this time</t>
  </si>
  <si>
    <t>*</t>
  </si>
  <si>
    <t>Anything with an asterisk is tentative and still being investigated</t>
  </si>
  <si>
    <t>Species/population is not listed under SARA Schedule 1 and is not actively being considered for addition to the list</t>
  </si>
  <si>
    <t>Species/population is not listed under SARA Schedule 1 but is currently being considered for addition (this process may take years or even decades)</t>
  </si>
  <si>
    <t>The Governer in Council (GIC) made the decision not to list the species/population under SARA Schedule 1, and potential listing is no longer being considered at this time</t>
  </si>
  <si>
    <t>A custom designation for species assessed as Not at Risk by COSEWIC.</t>
  </si>
  <si>
    <t>A custom designation for species listed under SARA Schedule 2 or 3 and/or that have been identified as at-risk by COSEWIC. These species have no legal SARA protection but they are recognized by science as being at risk.</t>
  </si>
  <si>
    <t>A custom designation for species listed as Special Concern under SARA Schedule 1. These species are not protected by general prohibitions but require a management plan under SARA.</t>
  </si>
  <si>
    <t>A custom designation for species listed as Threatened or Endangered under SARA Schedule 1. These species are protected by the general prohibitions of SARA (illegal to kill, harm, harass, capture, or destroy habitat)</t>
  </si>
  <si>
    <t>A custom designation for species with no SARA status that have either no present assessment or have been assessed as Data Deficient by COSEWIC. These species may or may not be at risk.</t>
  </si>
  <si>
    <t>High-frequency cetaceans (the majority of odontocetes including beaked whales and most dolphins)</t>
  </si>
  <si>
    <t>Curran et al. 2025</t>
  </si>
  <si>
    <t>Curran, K. J., Nagel, E. J., Murphy, S. A., Huskins-Shupe, M. L., and Marotte, E. C. (2025). Four Wind Energy Areas (WEA) in the offshore of Nova Scotia : a description of the primary marine ecosystem features, significant and protected areas, at-risk and depleted species, fish and fisheries, science surveys, and other human uses that may occur in and around the French Bank, Middle Bank, Sable Island Bank, and Sydney Bight Areas Can. Manuscr. Rep. Fish. Aquat. Sci. Manuscr. Can. Sci. Halieut. Aquat., Vol. 3312, p. 73. doi:10.60825/kp16-zx06</t>
  </si>
  <si>
    <t>All fish</t>
  </si>
  <si>
    <t>Denotes a species/population that has not been assessed by COSEWIC</t>
  </si>
  <si>
    <t>Official COSEWIC designation identifying a species/population as Endangered</t>
  </si>
  <si>
    <t>Official COSEWIC designation identifying a species/population as Threatened</t>
  </si>
  <si>
    <t>Official COSEWIC designation identifying a species/population as Special Concern</t>
  </si>
  <si>
    <t>Official COSEWIC designation identifying a species/population as Not at Risk</t>
  </si>
  <si>
    <t>Official COSEWIC designation identifying a species/population as Data Deficient</t>
  </si>
  <si>
    <t>Official SARA status recognizing a species/population as Endangered</t>
  </si>
  <si>
    <t>Official SARA status recognizing a species/population as Threatened</t>
  </si>
  <si>
    <t>Official SARA status recognizing a species/population as Special Concern</t>
  </si>
  <si>
    <t>Denotes a species/population with no present COSEWIC designation but for which an assessment process is ongoing at the time of writing</t>
  </si>
  <si>
    <t>Threshold_dB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</si>
</sst>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font>
    <font>
      <vertAlign val="superscript"/>
      <sz val="11"/>
      <color theme="1"/>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0" fontId="0" fillId="0" borderId="0" xfId="0" applyFont="1"/>
    <xf numFmtId="49"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B8A3-B3A5-458D-8E9F-B56302B70BF2}">
  <dimension ref="A1:I53"/>
  <sheetViews>
    <sheetView tabSelected="1" zoomScaleNormal="100" workbookViewId="0"/>
  </sheetViews>
  <sheetFormatPr defaultRowHeight="15" x14ac:dyDescent="0.25"/>
  <cols>
    <col min="1" max="1" width="31.140625" bestFit="1" customWidth="1"/>
    <col min="2" max="2" width="13.28515625" bestFit="1" customWidth="1"/>
    <col min="3" max="3" width="23" bestFit="1" customWidth="1"/>
    <col min="4" max="4" width="11.7109375" bestFit="1" customWidth="1"/>
    <col min="6" max="6" width="17.28515625" bestFit="1" customWidth="1"/>
    <col min="7" max="7" width="11.28515625" bestFit="1" customWidth="1"/>
    <col min="8" max="8" width="18.140625" bestFit="1" customWidth="1"/>
    <col min="9" max="9" width="11" bestFit="1" customWidth="1"/>
  </cols>
  <sheetData>
    <row r="1" spans="1:9" s="1" customFormat="1" x14ac:dyDescent="0.25">
      <c r="A1" s="1" t="s">
        <v>0</v>
      </c>
      <c r="B1" s="1" t="s">
        <v>324</v>
      </c>
      <c r="C1" s="1" t="s">
        <v>2</v>
      </c>
      <c r="D1" s="1" t="s">
        <v>1</v>
      </c>
      <c r="E1" s="1" t="s">
        <v>3</v>
      </c>
      <c r="F1" s="1" t="s">
        <v>41</v>
      </c>
      <c r="G1" s="1" t="s">
        <v>176</v>
      </c>
      <c r="H1" s="1" t="s">
        <v>7</v>
      </c>
      <c r="I1" s="1" t="s">
        <v>157</v>
      </c>
    </row>
    <row r="2" spans="1:9" x14ac:dyDescent="0.25">
      <c r="A2" t="s">
        <v>8</v>
      </c>
      <c r="B2">
        <v>216</v>
      </c>
      <c r="C2" t="s">
        <v>5</v>
      </c>
      <c r="D2" t="s">
        <v>4</v>
      </c>
      <c r="E2" t="s">
        <v>6</v>
      </c>
      <c r="F2" t="s">
        <v>40</v>
      </c>
      <c r="G2">
        <v>0</v>
      </c>
      <c r="H2" t="s">
        <v>180</v>
      </c>
    </row>
    <row r="3" spans="1:9" x14ac:dyDescent="0.25">
      <c r="A3" t="s">
        <v>8</v>
      </c>
      <c r="B3">
        <v>168</v>
      </c>
      <c r="C3" t="s">
        <v>5</v>
      </c>
      <c r="D3" t="s">
        <v>4</v>
      </c>
      <c r="E3" t="s">
        <v>10</v>
      </c>
      <c r="F3">
        <v>24</v>
      </c>
      <c r="G3">
        <v>1</v>
      </c>
      <c r="H3" t="s">
        <v>180</v>
      </c>
    </row>
    <row r="4" spans="1:9" x14ac:dyDescent="0.25">
      <c r="A4" t="s">
        <v>8</v>
      </c>
      <c r="B4">
        <v>222</v>
      </c>
      <c r="C4" t="s">
        <v>5</v>
      </c>
      <c r="D4" t="s">
        <v>14</v>
      </c>
      <c r="E4" t="s">
        <v>6</v>
      </c>
      <c r="F4" t="s">
        <v>40</v>
      </c>
      <c r="G4">
        <v>0</v>
      </c>
      <c r="H4" t="s">
        <v>180</v>
      </c>
    </row>
    <row r="5" spans="1:9" x14ac:dyDescent="0.25">
      <c r="A5" t="s">
        <v>8</v>
      </c>
      <c r="B5">
        <v>183</v>
      </c>
      <c r="C5" t="s">
        <v>5</v>
      </c>
      <c r="D5" t="s">
        <v>14</v>
      </c>
      <c r="E5" t="s">
        <v>10</v>
      </c>
      <c r="F5">
        <v>24</v>
      </c>
      <c r="G5">
        <v>1</v>
      </c>
      <c r="H5" t="s">
        <v>180</v>
      </c>
    </row>
    <row r="6" spans="1:9" x14ac:dyDescent="0.25">
      <c r="A6" t="s">
        <v>8</v>
      </c>
      <c r="B6">
        <v>177</v>
      </c>
      <c r="C6" t="s">
        <v>15</v>
      </c>
      <c r="D6" t="s">
        <v>4</v>
      </c>
      <c r="E6" t="s">
        <v>10</v>
      </c>
      <c r="F6">
        <v>24</v>
      </c>
      <c r="G6">
        <v>1</v>
      </c>
      <c r="H6" t="s">
        <v>180</v>
      </c>
    </row>
    <row r="7" spans="1:9" x14ac:dyDescent="0.25">
      <c r="A7" t="s">
        <v>8</v>
      </c>
      <c r="B7">
        <v>197</v>
      </c>
      <c r="C7" t="s">
        <v>15</v>
      </c>
      <c r="D7" t="s">
        <v>14</v>
      </c>
      <c r="E7" t="s">
        <v>10</v>
      </c>
      <c r="F7">
        <v>24</v>
      </c>
      <c r="G7">
        <v>1</v>
      </c>
      <c r="H7" t="s">
        <v>180</v>
      </c>
    </row>
    <row r="8" spans="1:9" x14ac:dyDescent="0.25">
      <c r="A8" t="s">
        <v>11</v>
      </c>
      <c r="B8">
        <v>224</v>
      </c>
      <c r="C8" t="s">
        <v>5</v>
      </c>
      <c r="D8" t="s">
        <v>4</v>
      </c>
      <c r="E8" t="s">
        <v>6</v>
      </c>
      <c r="F8" t="s">
        <v>40</v>
      </c>
      <c r="G8">
        <v>0</v>
      </c>
      <c r="H8" t="s">
        <v>180</v>
      </c>
    </row>
    <row r="9" spans="1:9" x14ac:dyDescent="0.25">
      <c r="A9" t="s">
        <v>11</v>
      </c>
      <c r="B9">
        <v>178</v>
      </c>
      <c r="C9" t="s">
        <v>5</v>
      </c>
      <c r="D9" t="s">
        <v>4</v>
      </c>
      <c r="E9" t="s">
        <v>10</v>
      </c>
      <c r="F9">
        <v>24</v>
      </c>
      <c r="G9">
        <v>1</v>
      </c>
      <c r="H9" t="s">
        <v>180</v>
      </c>
    </row>
    <row r="10" spans="1:9" x14ac:dyDescent="0.25">
      <c r="A10" t="s">
        <v>11</v>
      </c>
      <c r="B10">
        <v>230</v>
      </c>
      <c r="C10" t="s">
        <v>5</v>
      </c>
      <c r="D10" t="s">
        <v>14</v>
      </c>
      <c r="E10" t="s">
        <v>6</v>
      </c>
      <c r="F10" t="s">
        <v>40</v>
      </c>
      <c r="G10">
        <v>0</v>
      </c>
      <c r="H10" t="s">
        <v>180</v>
      </c>
    </row>
    <row r="11" spans="1:9" x14ac:dyDescent="0.25">
      <c r="A11" t="s">
        <v>11</v>
      </c>
      <c r="B11">
        <v>193</v>
      </c>
      <c r="C11" t="s">
        <v>5</v>
      </c>
      <c r="D11" t="s">
        <v>14</v>
      </c>
      <c r="E11" t="s">
        <v>10</v>
      </c>
      <c r="F11">
        <v>24</v>
      </c>
      <c r="G11">
        <v>1</v>
      </c>
      <c r="H11" t="s">
        <v>180</v>
      </c>
    </row>
    <row r="12" spans="1:9" x14ac:dyDescent="0.25">
      <c r="A12" t="s">
        <v>11</v>
      </c>
      <c r="B12">
        <v>181</v>
      </c>
      <c r="C12" t="s">
        <v>15</v>
      </c>
      <c r="D12" t="s">
        <v>4</v>
      </c>
      <c r="E12" t="s">
        <v>10</v>
      </c>
      <c r="F12">
        <v>24</v>
      </c>
      <c r="G12">
        <v>1</v>
      </c>
      <c r="H12" t="s">
        <v>180</v>
      </c>
    </row>
    <row r="13" spans="1:9" x14ac:dyDescent="0.25">
      <c r="A13" t="s">
        <v>11</v>
      </c>
      <c r="B13">
        <v>201</v>
      </c>
      <c r="C13" t="s">
        <v>15</v>
      </c>
      <c r="D13" t="s">
        <v>14</v>
      </c>
      <c r="E13" t="s">
        <v>10</v>
      </c>
      <c r="F13">
        <v>24</v>
      </c>
      <c r="G13">
        <v>1</v>
      </c>
      <c r="H13" t="s">
        <v>180</v>
      </c>
    </row>
    <row r="14" spans="1:9" x14ac:dyDescent="0.25">
      <c r="A14" t="s">
        <v>12</v>
      </c>
      <c r="B14">
        <v>196</v>
      </c>
      <c r="C14" t="s">
        <v>5</v>
      </c>
      <c r="D14" t="s">
        <v>4</v>
      </c>
      <c r="E14" t="s">
        <v>6</v>
      </c>
      <c r="F14" t="s">
        <v>40</v>
      </c>
      <c r="G14">
        <v>0</v>
      </c>
      <c r="H14" t="s">
        <v>180</v>
      </c>
    </row>
    <row r="15" spans="1:9" x14ac:dyDescent="0.25">
      <c r="A15" t="s">
        <v>12</v>
      </c>
      <c r="B15">
        <v>144</v>
      </c>
      <c r="C15" t="s">
        <v>5</v>
      </c>
      <c r="D15" t="s">
        <v>4</v>
      </c>
      <c r="E15" t="s">
        <v>10</v>
      </c>
      <c r="F15">
        <v>24</v>
      </c>
      <c r="G15">
        <v>1</v>
      </c>
      <c r="H15" t="s">
        <v>180</v>
      </c>
    </row>
    <row r="16" spans="1:9" x14ac:dyDescent="0.25">
      <c r="A16" t="s">
        <v>12</v>
      </c>
      <c r="B16">
        <v>202</v>
      </c>
      <c r="C16" t="s">
        <v>5</v>
      </c>
      <c r="D16" t="s">
        <v>14</v>
      </c>
      <c r="E16" t="s">
        <v>6</v>
      </c>
      <c r="F16" t="s">
        <v>40</v>
      </c>
      <c r="G16">
        <v>0</v>
      </c>
      <c r="H16" t="s">
        <v>180</v>
      </c>
    </row>
    <row r="17" spans="1:9" x14ac:dyDescent="0.25">
      <c r="A17" t="s">
        <v>12</v>
      </c>
      <c r="B17">
        <v>159</v>
      </c>
      <c r="C17" t="s">
        <v>5</v>
      </c>
      <c r="D17" t="s">
        <v>14</v>
      </c>
      <c r="E17" t="s">
        <v>10</v>
      </c>
      <c r="F17">
        <v>24</v>
      </c>
      <c r="G17">
        <v>1</v>
      </c>
      <c r="H17" t="s">
        <v>180</v>
      </c>
    </row>
    <row r="18" spans="1:9" x14ac:dyDescent="0.25">
      <c r="A18" t="s">
        <v>12</v>
      </c>
      <c r="B18">
        <v>161</v>
      </c>
      <c r="C18" t="s">
        <v>15</v>
      </c>
      <c r="D18" t="s">
        <v>4</v>
      </c>
      <c r="E18" t="s">
        <v>10</v>
      </c>
      <c r="F18">
        <v>24</v>
      </c>
      <c r="G18">
        <v>1</v>
      </c>
      <c r="H18" t="s">
        <v>180</v>
      </c>
    </row>
    <row r="19" spans="1:9" x14ac:dyDescent="0.25">
      <c r="A19" t="s">
        <v>12</v>
      </c>
      <c r="B19">
        <v>181</v>
      </c>
      <c r="C19" t="s">
        <v>15</v>
      </c>
      <c r="D19" t="s">
        <v>14</v>
      </c>
      <c r="E19" t="s">
        <v>10</v>
      </c>
      <c r="F19">
        <v>24</v>
      </c>
      <c r="G19">
        <v>1</v>
      </c>
      <c r="H19" t="s">
        <v>180</v>
      </c>
    </row>
    <row r="20" spans="1:9" x14ac:dyDescent="0.25">
      <c r="A20" t="s">
        <v>49</v>
      </c>
      <c r="B20">
        <v>217</v>
      </c>
      <c r="C20" t="s">
        <v>5</v>
      </c>
      <c r="D20" t="s">
        <v>4</v>
      </c>
      <c r="E20" t="s">
        <v>6</v>
      </c>
      <c r="F20" t="s">
        <v>40</v>
      </c>
      <c r="G20">
        <v>0</v>
      </c>
      <c r="H20" t="s">
        <v>180</v>
      </c>
    </row>
    <row r="21" spans="1:9" x14ac:dyDescent="0.25">
      <c r="A21" t="s">
        <v>49</v>
      </c>
      <c r="B21">
        <v>168</v>
      </c>
      <c r="C21" t="s">
        <v>5</v>
      </c>
      <c r="D21" t="s">
        <v>4</v>
      </c>
      <c r="E21" t="s">
        <v>10</v>
      </c>
      <c r="F21">
        <v>24</v>
      </c>
      <c r="G21">
        <v>1</v>
      </c>
      <c r="H21" t="s">
        <v>180</v>
      </c>
    </row>
    <row r="22" spans="1:9" x14ac:dyDescent="0.25">
      <c r="A22" t="s">
        <v>49</v>
      </c>
      <c r="B22">
        <v>223</v>
      </c>
      <c r="C22" t="s">
        <v>5</v>
      </c>
      <c r="D22" t="s">
        <v>14</v>
      </c>
      <c r="E22" t="s">
        <v>6</v>
      </c>
      <c r="F22" t="s">
        <v>40</v>
      </c>
      <c r="G22">
        <v>0</v>
      </c>
      <c r="H22" t="s">
        <v>180</v>
      </c>
    </row>
    <row r="23" spans="1:9" x14ac:dyDescent="0.25">
      <c r="A23" t="s">
        <v>49</v>
      </c>
      <c r="B23">
        <v>183</v>
      </c>
      <c r="C23" t="s">
        <v>5</v>
      </c>
      <c r="D23" t="s">
        <v>14</v>
      </c>
      <c r="E23" t="s">
        <v>10</v>
      </c>
      <c r="F23">
        <v>24</v>
      </c>
      <c r="G23">
        <v>1</v>
      </c>
      <c r="H23" t="s">
        <v>180</v>
      </c>
    </row>
    <row r="24" spans="1:9" x14ac:dyDescent="0.25">
      <c r="A24" t="s">
        <v>49</v>
      </c>
      <c r="B24">
        <v>175</v>
      </c>
      <c r="C24" t="s">
        <v>15</v>
      </c>
      <c r="D24" t="s">
        <v>4</v>
      </c>
      <c r="E24" t="s">
        <v>10</v>
      </c>
      <c r="F24">
        <v>24</v>
      </c>
      <c r="G24">
        <v>1</v>
      </c>
      <c r="H24" t="s">
        <v>180</v>
      </c>
    </row>
    <row r="25" spans="1:9" x14ac:dyDescent="0.25">
      <c r="A25" t="s">
        <v>49</v>
      </c>
      <c r="B25">
        <v>195</v>
      </c>
      <c r="C25" t="s">
        <v>15</v>
      </c>
      <c r="D25" t="s">
        <v>14</v>
      </c>
      <c r="E25" t="s">
        <v>10</v>
      </c>
      <c r="F25">
        <v>24</v>
      </c>
      <c r="G25">
        <v>1</v>
      </c>
      <c r="H25" t="s">
        <v>180</v>
      </c>
    </row>
    <row r="26" spans="1:9" x14ac:dyDescent="0.25">
      <c r="A26" t="s">
        <v>167</v>
      </c>
      <c r="B26">
        <v>120</v>
      </c>
      <c r="C26" t="s">
        <v>21</v>
      </c>
      <c r="D26" t="s">
        <v>169</v>
      </c>
      <c r="E26" t="s">
        <v>38</v>
      </c>
      <c r="F26" t="s">
        <v>40</v>
      </c>
      <c r="G26">
        <v>-1</v>
      </c>
      <c r="H26" t="s">
        <v>181</v>
      </c>
    </row>
    <row r="27" spans="1:9" x14ac:dyDescent="0.25">
      <c r="A27" t="s">
        <v>167</v>
      </c>
      <c r="B27">
        <v>160</v>
      </c>
      <c r="C27" t="s">
        <v>168</v>
      </c>
      <c r="D27" t="s">
        <v>169</v>
      </c>
      <c r="E27" t="s">
        <v>38</v>
      </c>
      <c r="F27" t="s">
        <v>40</v>
      </c>
      <c r="G27">
        <v>-1</v>
      </c>
      <c r="H27" t="s">
        <v>181</v>
      </c>
    </row>
    <row r="28" spans="1:9" x14ac:dyDescent="0.25">
      <c r="A28" t="s">
        <v>171</v>
      </c>
      <c r="B28">
        <v>206</v>
      </c>
      <c r="C28" t="s">
        <v>5</v>
      </c>
      <c r="D28" t="s">
        <v>175</v>
      </c>
      <c r="E28" t="s">
        <v>6</v>
      </c>
      <c r="F28" t="s">
        <v>40</v>
      </c>
      <c r="G28">
        <v>0</v>
      </c>
      <c r="H28" t="s">
        <v>181</v>
      </c>
    </row>
    <row r="29" spans="1:9" x14ac:dyDescent="0.25">
      <c r="A29" t="s">
        <v>171</v>
      </c>
      <c r="B29">
        <v>187</v>
      </c>
      <c r="C29" t="s">
        <v>5</v>
      </c>
      <c r="D29" t="s">
        <v>175</v>
      </c>
      <c r="E29" t="s">
        <v>10</v>
      </c>
      <c r="F29">
        <v>12</v>
      </c>
      <c r="G29">
        <v>-1</v>
      </c>
      <c r="H29" t="s">
        <v>181</v>
      </c>
    </row>
    <row r="30" spans="1:9" x14ac:dyDescent="0.25">
      <c r="A30" t="s">
        <v>172</v>
      </c>
      <c r="B30">
        <v>206</v>
      </c>
      <c r="C30" t="s">
        <v>5</v>
      </c>
      <c r="D30" t="s">
        <v>175</v>
      </c>
      <c r="E30" t="s">
        <v>6</v>
      </c>
      <c r="F30" t="s">
        <v>40</v>
      </c>
      <c r="G30">
        <v>0</v>
      </c>
      <c r="H30" t="s">
        <v>181</v>
      </c>
    </row>
    <row r="31" spans="1:9" x14ac:dyDescent="0.25">
      <c r="A31" t="s">
        <v>172</v>
      </c>
      <c r="B31">
        <v>183</v>
      </c>
      <c r="C31" t="s">
        <v>5</v>
      </c>
      <c r="D31" t="s">
        <v>175</v>
      </c>
      <c r="E31" t="s">
        <v>10</v>
      </c>
      <c r="F31">
        <v>12</v>
      </c>
      <c r="G31">
        <v>-1</v>
      </c>
      <c r="H31" t="s">
        <v>181</v>
      </c>
    </row>
    <row r="32" spans="1:9" x14ac:dyDescent="0.25">
      <c r="A32" t="s">
        <v>177</v>
      </c>
      <c r="B32">
        <v>150</v>
      </c>
      <c r="C32" t="s">
        <v>178</v>
      </c>
      <c r="D32" t="s">
        <v>169</v>
      </c>
      <c r="E32" t="s">
        <v>38</v>
      </c>
      <c r="F32" t="s">
        <v>40</v>
      </c>
      <c r="G32">
        <v>-1</v>
      </c>
      <c r="H32" t="s">
        <v>181</v>
      </c>
      <c r="I32" t="s">
        <v>179</v>
      </c>
    </row>
    <row r="33" spans="1:9" x14ac:dyDescent="0.25">
      <c r="A33" t="s">
        <v>13</v>
      </c>
      <c r="B33">
        <v>186</v>
      </c>
      <c r="C33" t="s">
        <v>16</v>
      </c>
      <c r="D33" t="s">
        <v>4</v>
      </c>
      <c r="E33" t="s">
        <v>10</v>
      </c>
      <c r="F33" t="s">
        <v>40</v>
      </c>
      <c r="G33">
        <v>0</v>
      </c>
      <c r="H33" t="s">
        <v>182</v>
      </c>
      <c r="I33" t="s">
        <v>193</v>
      </c>
    </row>
    <row r="34" spans="1:9" x14ac:dyDescent="0.25">
      <c r="A34" t="s">
        <v>13</v>
      </c>
      <c r="B34">
        <v>213</v>
      </c>
      <c r="C34" t="s">
        <v>16</v>
      </c>
      <c r="D34" t="s">
        <v>17</v>
      </c>
      <c r="E34" t="s">
        <v>6</v>
      </c>
      <c r="F34" t="s">
        <v>40</v>
      </c>
      <c r="G34">
        <v>0</v>
      </c>
      <c r="H34" t="s">
        <v>182</v>
      </c>
    </row>
    <row r="35" spans="1:9" x14ac:dyDescent="0.25">
      <c r="A35" t="s">
        <v>13</v>
      </c>
      <c r="B35">
        <v>216</v>
      </c>
      <c r="C35" t="s">
        <v>16</v>
      </c>
      <c r="D35" t="s">
        <v>17</v>
      </c>
      <c r="E35" t="s">
        <v>10</v>
      </c>
      <c r="F35" t="s">
        <v>40</v>
      </c>
      <c r="G35">
        <v>0</v>
      </c>
      <c r="H35" t="s">
        <v>182</v>
      </c>
      <c r="I35" t="s">
        <v>193</v>
      </c>
    </row>
    <row r="36" spans="1:9" x14ac:dyDescent="0.25">
      <c r="A36" t="s">
        <v>13</v>
      </c>
      <c r="B36">
        <v>213</v>
      </c>
      <c r="C36" t="s">
        <v>16</v>
      </c>
      <c r="D36" t="s">
        <v>9</v>
      </c>
      <c r="E36" t="s">
        <v>6</v>
      </c>
      <c r="F36" t="s">
        <v>40</v>
      </c>
      <c r="G36">
        <v>0</v>
      </c>
      <c r="H36" t="s">
        <v>182</v>
      </c>
    </row>
    <row r="37" spans="1:9" x14ac:dyDescent="0.25">
      <c r="A37" t="s">
        <v>13</v>
      </c>
      <c r="B37">
        <v>219</v>
      </c>
      <c r="C37" t="s">
        <v>16</v>
      </c>
      <c r="D37" t="s">
        <v>9</v>
      </c>
      <c r="E37" t="s">
        <v>10</v>
      </c>
      <c r="F37" t="s">
        <v>40</v>
      </c>
      <c r="G37">
        <v>0</v>
      </c>
      <c r="H37" t="s">
        <v>182</v>
      </c>
      <c r="I37" t="s">
        <v>193</v>
      </c>
    </row>
    <row r="38" spans="1:9" x14ac:dyDescent="0.25">
      <c r="A38" t="s">
        <v>28</v>
      </c>
      <c r="B38">
        <v>186</v>
      </c>
      <c r="C38" t="s">
        <v>16</v>
      </c>
      <c r="D38" t="s">
        <v>4</v>
      </c>
      <c r="E38" t="s">
        <v>10</v>
      </c>
      <c r="F38" t="s">
        <v>40</v>
      </c>
      <c r="G38">
        <v>0</v>
      </c>
      <c r="H38" t="s">
        <v>182</v>
      </c>
      <c r="I38" t="s">
        <v>193</v>
      </c>
    </row>
    <row r="39" spans="1:9" x14ac:dyDescent="0.25">
      <c r="A39" t="s">
        <v>28</v>
      </c>
      <c r="B39">
        <v>207</v>
      </c>
      <c r="C39" t="s">
        <v>16</v>
      </c>
      <c r="D39" t="s">
        <v>17</v>
      </c>
      <c r="E39" t="s">
        <v>6</v>
      </c>
      <c r="F39" t="s">
        <v>40</v>
      </c>
      <c r="G39">
        <v>0</v>
      </c>
      <c r="H39" t="s">
        <v>182</v>
      </c>
    </row>
    <row r="40" spans="1:9" x14ac:dyDescent="0.25">
      <c r="A40" t="s">
        <v>28</v>
      </c>
      <c r="B40">
        <v>203</v>
      </c>
      <c r="C40" t="s">
        <v>16</v>
      </c>
      <c r="D40" t="s">
        <v>17</v>
      </c>
      <c r="E40" t="s">
        <v>10</v>
      </c>
      <c r="F40" t="s">
        <v>40</v>
      </c>
      <c r="G40">
        <v>0</v>
      </c>
      <c r="H40" t="s">
        <v>182</v>
      </c>
      <c r="I40" t="s">
        <v>193</v>
      </c>
    </row>
    <row r="41" spans="1:9" x14ac:dyDescent="0.25">
      <c r="A41" t="s">
        <v>28</v>
      </c>
      <c r="B41">
        <v>207</v>
      </c>
      <c r="C41" t="s">
        <v>16</v>
      </c>
      <c r="D41" t="s">
        <v>9</v>
      </c>
      <c r="E41" t="s">
        <v>6</v>
      </c>
      <c r="F41" t="s">
        <v>40</v>
      </c>
      <c r="G41">
        <v>0</v>
      </c>
      <c r="H41" t="s">
        <v>182</v>
      </c>
    </row>
    <row r="42" spans="1:9" x14ac:dyDescent="0.25">
      <c r="A42" t="s">
        <v>28</v>
      </c>
      <c r="B42">
        <v>210</v>
      </c>
      <c r="C42" t="s">
        <v>16</v>
      </c>
      <c r="D42" t="s">
        <v>9</v>
      </c>
      <c r="E42" t="s">
        <v>10</v>
      </c>
      <c r="F42" t="s">
        <v>40</v>
      </c>
      <c r="G42">
        <v>0</v>
      </c>
      <c r="H42" t="s">
        <v>182</v>
      </c>
      <c r="I42" t="s">
        <v>193</v>
      </c>
    </row>
    <row r="43" spans="1:9" x14ac:dyDescent="0.25">
      <c r="A43" t="s">
        <v>31</v>
      </c>
      <c r="B43">
        <v>186</v>
      </c>
      <c r="C43" t="s">
        <v>16</v>
      </c>
      <c r="D43" t="s">
        <v>4</v>
      </c>
      <c r="E43" t="s">
        <v>10</v>
      </c>
      <c r="F43" t="s">
        <v>40</v>
      </c>
      <c r="G43">
        <v>0</v>
      </c>
      <c r="H43" t="s">
        <v>182</v>
      </c>
      <c r="I43" t="s">
        <v>193</v>
      </c>
    </row>
    <row r="44" spans="1:9" x14ac:dyDescent="0.25">
      <c r="A44" t="s">
        <v>31</v>
      </c>
      <c r="B44">
        <v>207</v>
      </c>
      <c r="C44" t="s">
        <v>16</v>
      </c>
      <c r="D44" t="s">
        <v>17</v>
      </c>
      <c r="E44" t="s">
        <v>6</v>
      </c>
      <c r="F44" t="s">
        <v>40</v>
      </c>
      <c r="G44">
        <v>0</v>
      </c>
      <c r="H44" t="s">
        <v>182</v>
      </c>
    </row>
    <row r="45" spans="1:9" x14ac:dyDescent="0.25">
      <c r="A45" t="s">
        <v>31</v>
      </c>
      <c r="B45">
        <v>203</v>
      </c>
      <c r="C45" t="s">
        <v>16</v>
      </c>
      <c r="D45" t="s">
        <v>17</v>
      </c>
      <c r="E45" t="s">
        <v>10</v>
      </c>
      <c r="F45" t="s">
        <v>40</v>
      </c>
      <c r="G45">
        <v>0</v>
      </c>
      <c r="H45" t="s">
        <v>182</v>
      </c>
      <c r="I45" t="s">
        <v>193</v>
      </c>
    </row>
    <row r="46" spans="1:9" x14ac:dyDescent="0.25">
      <c r="A46" t="s">
        <v>31</v>
      </c>
      <c r="B46">
        <v>207</v>
      </c>
      <c r="C46" t="s">
        <v>16</v>
      </c>
      <c r="D46" t="s">
        <v>9</v>
      </c>
      <c r="E46" t="s">
        <v>6</v>
      </c>
      <c r="F46" t="s">
        <v>40</v>
      </c>
      <c r="G46">
        <v>0</v>
      </c>
      <c r="H46" t="s">
        <v>182</v>
      </c>
    </row>
    <row r="47" spans="1:9" x14ac:dyDescent="0.25">
      <c r="A47" t="s">
        <v>31</v>
      </c>
      <c r="B47">
        <v>207</v>
      </c>
      <c r="C47" t="s">
        <v>16</v>
      </c>
      <c r="D47" t="s">
        <v>9</v>
      </c>
      <c r="E47" t="s">
        <v>10</v>
      </c>
      <c r="F47" t="s">
        <v>40</v>
      </c>
      <c r="G47">
        <v>0</v>
      </c>
      <c r="H47" t="s">
        <v>182</v>
      </c>
      <c r="I47" t="s">
        <v>193</v>
      </c>
    </row>
    <row r="48" spans="1:9" x14ac:dyDescent="0.25">
      <c r="A48" t="s">
        <v>31</v>
      </c>
      <c r="B48">
        <v>158</v>
      </c>
      <c r="C48" t="s">
        <v>21</v>
      </c>
      <c r="D48" t="s">
        <v>4</v>
      </c>
      <c r="E48" t="s">
        <v>38</v>
      </c>
      <c r="F48">
        <v>12</v>
      </c>
      <c r="G48">
        <v>0</v>
      </c>
      <c r="H48" t="s">
        <v>182</v>
      </c>
    </row>
    <row r="49" spans="1:9" x14ac:dyDescent="0.25">
      <c r="A49" t="s">
        <v>31</v>
      </c>
      <c r="B49">
        <v>170</v>
      </c>
      <c r="C49" t="s">
        <v>21</v>
      </c>
      <c r="D49" t="s">
        <v>17</v>
      </c>
      <c r="E49" t="s">
        <v>38</v>
      </c>
      <c r="F49">
        <v>48</v>
      </c>
      <c r="G49">
        <v>0</v>
      </c>
      <c r="H49" t="s">
        <v>182</v>
      </c>
    </row>
    <row r="50" spans="1:9" x14ac:dyDescent="0.25">
      <c r="A50" t="s">
        <v>33</v>
      </c>
      <c r="B50">
        <v>207</v>
      </c>
      <c r="C50" t="s">
        <v>16</v>
      </c>
      <c r="D50" t="s">
        <v>9</v>
      </c>
      <c r="E50" t="s">
        <v>6</v>
      </c>
      <c r="F50" t="s">
        <v>40</v>
      </c>
      <c r="G50">
        <v>0</v>
      </c>
      <c r="H50" t="s">
        <v>182</v>
      </c>
    </row>
    <row r="51" spans="1:9" x14ac:dyDescent="0.25">
      <c r="A51" t="s">
        <v>33</v>
      </c>
      <c r="B51">
        <v>210</v>
      </c>
      <c r="C51" t="s">
        <v>16</v>
      </c>
      <c r="D51" t="s">
        <v>9</v>
      </c>
      <c r="E51" t="s">
        <v>43</v>
      </c>
      <c r="F51" t="s">
        <v>40</v>
      </c>
      <c r="G51">
        <v>0</v>
      </c>
      <c r="H51" t="s">
        <v>182</v>
      </c>
      <c r="I51" t="s">
        <v>193</v>
      </c>
    </row>
    <row r="52" spans="1:9" x14ac:dyDescent="0.25">
      <c r="A52" t="s">
        <v>35</v>
      </c>
      <c r="B52">
        <v>207</v>
      </c>
      <c r="C52" t="s">
        <v>16</v>
      </c>
      <c r="D52" t="s">
        <v>9</v>
      </c>
      <c r="E52" t="s">
        <v>6</v>
      </c>
      <c r="F52" t="s">
        <v>40</v>
      </c>
      <c r="G52">
        <v>0</v>
      </c>
      <c r="H52" t="s">
        <v>182</v>
      </c>
    </row>
    <row r="53" spans="1:9" x14ac:dyDescent="0.25">
      <c r="A53" t="s">
        <v>35</v>
      </c>
      <c r="B53">
        <v>210</v>
      </c>
      <c r="C53" t="s">
        <v>16</v>
      </c>
      <c r="D53" t="s">
        <v>9</v>
      </c>
      <c r="E53" t="s">
        <v>43</v>
      </c>
      <c r="F53" t="s">
        <v>40</v>
      </c>
      <c r="G53">
        <v>0</v>
      </c>
      <c r="H53" t="s">
        <v>182</v>
      </c>
      <c r="I53" t="s">
        <v>193</v>
      </c>
    </row>
  </sheetData>
  <sheetProtection algorithmName="SHA-512" hashValue="CxHq0VFo6cCHrxqPDOxEd5AZZQi8aFgwqvfT/w4NCnzyOIum7cWNEXnhRmviTme+Ge+woBw2tz1zFuazoHlJFw==" saltValue="BQOhWoeDVL6Sl99GfYCb8g==" spinCount="100000" sheet="1" objects="1" scenarios="1" formatCells="0" formatColumns="0" formatRows="0" sort="0"/>
  <sortState xmlns:xlrd2="http://schemas.microsoft.com/office/spreadsheetml/2017/richdata2" ref="A14:H19">
    <sortCondition ref="C14:C19"/>
  </sortState>
  <phoneticPr fontId="18" type="noConversion"/>
  <pageMargins left="0.7" right="0.7" top="0.75" bottom="0.75" header="0.3" footer="0.3"/>
  <pageSetup orientation="portrait"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79F18-E2F4-440A-9E8F-5581DBA966CA}">
  <dimension ref="A1:F5"/>
  <sheetViews>
    <sheetView workbookViewId="0"/>
  </sheetViews>
  <sheetFormatPr defaultRowHeight="15" x14ac:dyDescent="0.25"/>
  <cols>
    <col min="1" max="1" width="19" bestFit="1" customWidth="1"/>
  </cols>
  <sheetData>
    <row r="1" spans="1:6" s="1" customFormat="1" x14ac:dyDescent="0.25">
      <c r="A1" s="1" t="s">
        <v>0</v>
      </c>
      <c r="B1" s="1" t="s">
        <v>44</v>
      </c>
      <c r="C1" s="1" t="s">
        <v>45</v>
      </c>
      <c r="D1" s="1" t="s">
        <v>46</v>
      </c>
      <c r="E1" s="1" t="s">
        <v>47</v>
      </c>
      <c r="F1" s="1" t="s">
        <v>48</v>
      </c>
    </row>
    <row r="2" spans="1:6" x14ac:dyDescent="0.25">
      <c r="A2" t="s">
        <v>8</v>
      </c>
      <c r="B2">
        <v>0.99</v>
      </c>
      <c r="C2">
        <v>5</v>
      </c>
      <c r="D2">
        <v>0.16800000000000001</v>
      </c>
      <c r="E2">
        <v>26.6</v>
      </c>
      <c r="F2">
        <v>0.12</v>
      </c>
    </row>
    <row r="3" spans="1:6" x14ac:dyDescent="0.25">
      <c r="A3" t="s">
        <v>11</v>
      </c>
      <c r="B3">
        <v>1.55</v>
      </c>
      <c r="C3">
        <v>5</v>
      </c>
      <c r="D3">
        <v>1.73</v>
      </c>
      <c r="E3">
        <v>129</v>
      </c>
      <c r="F3">
        <v>0.32</v>
      </c>
    </row>
    <row r="4" spans="1:6" x14ac:dyDescent="0.25">
      <c r="A4" t="s">
        <v>12</v>
      </c>
      <c r="B4">
        <v>2.23</v>
      </c>
      <c r="C4">
        <v>5</v>
      </c>
      <c r="D4">
        <v>5.93</v>
      </c>
      <c r="E4">
        <v>186</v>
      </c>
      <c r="F4">
        <v>0.91</v>
      </c>
    </row>
    <row r="5" spans="1:6" x14ac:dyDescent="0.25">
      <c r="A5" t="s">
        <v>49</v>
      </c>
      <c r="B5">
        <v>1.63</v>
      </c>
      <c r="C5">
        <v>5</v>
      </c>
      <c r="D5">
        <v>0.81</v>
      </c>
      <c r="E5">
        <v>68.3</v>
      </c>
      <c r="F5">
        <v>0.28999999999999998</v>
      </c>
    </row>
  </sheetData>
  <sheetProtection algorithmName="SHA-512" hashValue="6HWrVCqtnu3+ybYSbNFkq9WdlZoK8pWxO7DuOD8Wc9MrSeUmWXydZHlqa+bV6QIXXsYktdAHUxcbwMRBDq9umg==" saltValue="hC561MYxqErZFyHXZzS9mg==" spinCount="100000" sheet="1" objects="1" scenarios="1" formatCells="0" formatColumns="0" formatRows="0" sort="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863F9-38E5-4B2A-BC59-ED29C0E6A35A}">
  <dimension ref="A1:L62"/>
  <sheetViews>
    <sheetView workbookViewId="0"/>
  </sheetViews>
  <sheetFormatPr defaultRowHeight="15" x14ac:dyDescent="0.25"/>
  <cols>
    <col min="1" max="1" width="29.140625" bestFit="1" customWidth="1"/>
    <col min="2" max="2" width="28.140625" customWidth="1"/>
    <col min="3" max="3" width="33" bestFit="1" customWidth="1"/>
    <col min="4" max="4" width="28.140625" bestFit="1" customWidth="1"/>
    <col min="5" max="5" width="42.28515625" bestFit="1" customWidth="1"/>
    <col min="6" max="6" width="19.42578125" bestFit="1" customWidth="1"/>
    <col min="7" max="8" width="17" customWidth="1"/>
    <col min="9" max="9" width="22.28515625" bestFit="1" customWidth="1"/>
    <col min="10" max="10" width="28" style="3" bestFit="1" customWidth="1"/>
    <col min="11" max="11" width="13.28515625" bestFit="1" customWidth="1"/>
    <col min="12" max="12" width="85.140625" customWidth="1"/>
  </cols>
  <sheetData>
    <row r="1" spans="1:12" s="1" customFormat="1" x14ac:dyDescent="0.25">
      <c r="A1" s="1" t="s">
        <v>51</v>
      </c>
      <c r="B1" s="1" t="s">
        <v>52</v>
      </c>
      <c r="C1" s="1" t="s">
        <v>0</v>
      </c>
      <c r="D1" s="1" t="s">
        <v>272</v>
      </c>
      <c r="E1" s="1" t="s">
        <v>194</v>
      </c>
      <c r="F1" s="1" t="s">
        <v>208</v>
      </c>
      <c r="G1" s="1" t="s">
        <v>209</v>
      </c>
      <c r="H1" s="1" t="s">
        <v>210</v>
      </c>
      <c r="I1" s="1" t="s">
        <v>200</v>
      </c>
      <c r="J1" s="1" t="s">
        <v>232</v>
      </c>
      <c r="K1" s="1" t="s">
        <v>54</v>
      </c>
      <c r="L1" s="1" t="s">
        <v>157</v>
      </c>
    </row>
    <row r="2" spans="1:12" x14ac:dyDescent="0.25">
      <c r="A2" t="s">
        <v>53</v>
      </c>
      <c r="B2" t="s">
        <v>55</v>
      </c>
      <c r="C2" t="s">
        <v>284</v>
      </c>
      <c r="E2" t="s">
        <v>195</v>
      </c>
      <c r="F2" t="s">
        <v>274</v>
      </c>
      <c r="G2" t="s">
        <v>40</v>
      </c>
      <c r="H2" t="s">
        <v>40</v>
      </c>
      <c r="I2" t="s">
        <v>152</v>
      </c>
      <c r="J2" s="3" t="s">
        <v>203</v>
      </c>
      <c r="K2" s="4" cm="1">
        <f t="array" ref="K2">_xlfn.IFS(
    OR(F2="Endangered", F2="Threatened"), 1,
    F2="Special Concern", 2,
    OR(G2&lt;&gt;"NA", H2&lt;&gt;"NA", OR(I2="Endangered", I2="Threatened", I2="Special Concern")), 3,
    OR(I2="Not Assessed", I2="Data Deficient", I2="Under Evaluation"), 4,
    I2="Not at Risk", 5
)</f>
        <v>3</v>
      </c>
    </row>
    <row r="3" spans="1:12" x14ac:dyDescent="0.25">
      <c r="A3" t="s">
        <v>53</v>
      </c>
      <c r="B3" t="s">
        <v>55</v>
      </c>
      <c r="C3" t="s">
        <v>284</v>
      </c>
      <c r="E3" t="s">
        <v>196</v>
      </c>
      <c r="F3" t="s">
        <v>274</v>
      </c>
      <c r="G3" t="s">
        <v>40</v>
      </c>
      <c r="H3" t="s">
        <v>40</v>
      </c>
      <c r="I3" t="s">
        <v>153</v>
      </c>
      <c r="J3" s="3" t="s">
        <v>203</v>
      </c>
      <c r="K3" s="4" cm="1">
        <f t="array" ref="K3">_xlfn.IFS(
    OR(F3="Endangered", F3="Threatened"), 1,
    F3="Special Concern", 2,
    OR(G3&lt;&gt;"NA", H3&lt;&gt;"NA", OR(I3="Endangered", I3="Threatened", I3="Special Concern")), 3,
    OR(I3="Not Assessed", I3="Data Deficient", I3="Under Evaluation"), 4,
    I3="Not at Risk", 5
)</f>
        <v>3</v>
      </c>
      <c r="L3" t="s">
        <v>280</v>
      </c>
    </row>
    <row r="4" spans="1:12" x14ac:dyDescent="0.25">
      <c r="A4" t="s">
        <v>56</v>
      </c>
      <c r="B4" t="s">
        <v>57</v>
      </c>
      <c r="C4" t="s">
        <v>284</v>
      </c>
      <c r="D4" t="s">
        <v>286</v>
      </c>
      <c r="E4" t="s">
        <v>205</v>
      </c>
      <c r="F4" t="s">
        <v>275</v>
      </c>
      <c r="G4" t="s">
        <v>40</v>
      </c>
      <c r="H4" t="s">
        <v>40</v>
      </c>
      <c r="I4" t="s">
        <v>151</v>
      </c>
      <c r="J4" s="3" t="s">
        <v>202</v>
      </c>
      <c r="K4" s="4" cm="1">
        <f t="array" ref="K4">_xlfn.IFS(
    OR(F4="Endangered", F4="Threatened"), 1,
    F4="Special Concern", 2,
    OR(G4&lt;&gt;"NA", H4&lt;&gt;"NA", OR(I4="Endangered", I4="Threatened", I4="Special Concern")), 3,
    OR(I4="Not Assessed", I4="Data Deficient", I4="Under Evaluation"), 4,
    I4="Not at Risk", 5
)</f>
        <v>3</v>
      </c>
    </row>
    <row r="5" spans="1:12" x14ac:dyDescent="0.25">
      <c r="A5" t="s">
        <v>58</v>
      </c>
      <c r="B5" t="s">
        <v>59</v>
      </c>
      <c r="C5" t="s">
        <v>28</v>
      </c>
      <c r="D5" t="s">
        <v>182</v>
      </c>
      <c r="E5" t="s">
        <v>197</v>
      </c>
      <c r="F5" t="s">
        <v>274</v>
      </c>
      <c r="G5" t="s">
        <v>40</v>
      </c>
      <c r="H5" t="s">
        <v>40</v>
      </c>
      <c r="I5" t="s">
        <v>152</v>
      </c>
      <c r="J5" s="3" t="s">
        <v>201</v>
      </c>
      <c r="K5" s="4" cm="1">
        <f t="array" ref="K5">_xlfn.IFS(
    OR(F5="Endangered", F5="Threatened"), 1,
    F5="Special Concern", 2,
    OR(G5&lt;&gt;"NA", H5&lt;&gt;"NA", OR(I5="Endangered", I5="Threatened", I5="Special Concern")), 3,
    OR(I5="Not Assessed", I5="Data Deficient", I5="Under Evaluation"), 4,
    I5="Not at Risk", 5
)</f>
        <v>3</v>
      </c>
      <c r="L5" t="s">
        <v>276</v>
      </c>
    </row>
    <row r="6" spans="1:12" x14ac:dyDescent="0.25">
      <c r="A6" t="s">
        <v>58</v>
      </c>
      <c r="B6" t="s">
        <v>59</v>
      </c>
      <c r="C6" t="s">
        <v>28</v>
      </c>
      <c r="D6" t="s">
        <v>182</v>
      </c>
      <c r="E6" t="s">
        <v>198</v>
      </c>
      <c r="F6" t="s">
        <v>274</v>
      </c>
      <c r="G6" t="s">
        <v>40</v>
      </c>
      <c r="H6" t="s">
        <v>40</v>
      </c>
      <c r="I6" t="s">
        <v>152</v>
      </c>
      <c r="J6" s="3" t="s">
        <v>201</v>
      </c>
      <c r="K6" s="4" cm="1">
        <f t="array" ref="K6">_xlfn.IFS(
    OR(F6="Endangered", F6="Threatened"), 1,
    F6="Special Concern", 2,
    OR(G6&lt;&gt;"NA", H6&lt;&gt;"NA", OR(I6="Endangered", I6="Threatened", I6="Special Concern")), 3,
    OR(I6="Not Assessed", I6="Data Deficient", I6="Under Evaluation"), 4,
    I6="Not at Risk", 5
)</f>
        <v>3</v>
      </c>
      <c r="L6" t="s">
        <v>277</v>
      </c>
    </row>
    <row r="7" spans="1:12" x14ac:dyDescent="0.25">
      <c r="A7" t="s">
        <v>58</v>
      </c>
      <c r="B7" t="s">
        <v>59</v>
      </c>
      <c r="C7" t="s">
        <v>28</v>
      </c>
      <c r="D7" t="s">
        <v>182</v>
      </c>
      <c r="E7" t="s">
        <v>199</v>
      </c>
      <c r="F7" t="s">
        <v>274</v>
      </c>
      <c r="G7" t="s">
        <v>40</v>
      </c>
      <c r="H7" t="s">
        <v>40</v>
      </c>
      <c r="I7" t="s">
        <v>152</v>
      </c>
      <c r="J7" s="3" t="s">
        <v>201</v>
      </c>
      <c r="K7" s="4" cm="1">
        <f t="array" ref="K7">_xlfn.IFS(
    OR(F7="Endangered", F7="Threatened"), 1,
    F7="Special Concern", 2,
    OR(G7&lt;&gt;"NA", H7&lt;&gt;"NA", OR(I7="Endangered", I7="Threatened", I7="Special Concern")), 3,
    OR(I7="Not Assessed", I7="Data Deficient", I7="Under Evaluation"), 4,
    I7="Not at Risk", 5
)</f>
        <v>3</v>
      </c>
      <c r="L7" t="s">
        <v>278</v>
      </c>
    </row>
    <row r="8" spans="1:12" x14ac:dyDescent="0.25">
      <c r="A8" t="s">
        <v>60</v>
      </c>
      <c r="B8" t="s">
        <v>61</v>
      </c>
      <c r="C8" t="s">
        <v>28</v>
      </c>
      <c r="D8" t="s">
        <v>285</v>
      </c>
      <c r="E8" t="s">
        <v>204</v>
      </c>
      <c r="F8" t="s">
        <v>274</v>
      </c>
      <c r="G8" t="s">
        <v>40</v>
      </c>
      <c r="H8" t="s">
        <v>40</v>
      </c>
      <c r="I8" t="s">
        <v>151</v>
      </c>
      <c r="J8" s="3" t="s">
        <v>206</v>
      </c>
      <c r="K8" s="4" cm="1">
        <f t="array" ref="K8">_xlfn.IFS(
    OR(F8="Endangered", F8="Threatened"), 1,
    F8="Special Concern", 2,
    OR(G8&lt;&gt;"NA", H8&lt;&gt;"NA", OR(I8="Endangered", I8="Threatened", I8="Special Concern")), 3,
    OR(I8="Not Assessed", I8="Data Deficient", I8="Under Evaluation"), 4,
    I8="Not at Risk", 5
)</f>
        <v>3</v>
      </c>
    </row>
    <row r="9" spans="1:12" x14ac:dyDescent="0.25">
      <c r="A9" t="s">
        <v>62</v>
      </c>
      <c r="B9" t="s">
        <v>63</v>
      </c>
      <c r="C9" t="s">
        <v>31</v>
      </c>
      <c r="D9" t="s">
        <v>182</v>
      </c>
      <c r="E9" t="s">
        <v>207</v>
      </c>
      <c r="F9" t="s">
        <v>274</v>
      </c>
      <c r="G9" t="s">
        <v>40</v>
      </c>
      <c r="H9" t="s">
        <v>153</v>
      </c>
      <c r="I9" t="s">
        <v>152</v>
      </c>
      <c r="J9" s="3" t="s">
        <v>211</v>
      </c>
      <c r="K9" s="4" cm="1">
        <f t="array" ref="K9">_xlfn.IFS(
    OR(F9="Endangered", F9="Threatened"), 1,
    F9="Special Concern", 2,
    OR(G9&lt;&gt;"NA", H9&lt;&gt;"NA", OR(I9="Endangered", I9="Threatened", I9="Special Concern")), 3,
    OR(I9="Not Assessed", I9="Data Deficient", I9="Under Evaluation"), 4,
    I9="Not at Risk", 5
)</f>
        <v>3</v>
      </c>
      <c r="L9" t="s">
        <v>279</v>
      </c>
    </row>
    <row r="10" spans="1:12" x14ac:dyDescent="0.25">
      <c r="A10" t="s">
        <v>64</v>
      </c>
      <c r="B10" t="s">
        <v>65</v>
      </c>
      <c r="C10" t="s">
        <v>284</v>
      </c>
      <c r="E10" t="s">
        <v>212</v>
      </c>
      <c r="F10" t="s">
        <v>274</v>
      </c>
      <c r="G10" t="s">
        <v>40</v>
      </c>
      <c r="H10" t="s">
        <v>40</v>
      </c>
      <c r="I10" t="s">
        <v>151</v>
      </c>
      <c r="J10" s="3" t="s">
        <v>213</v>
      </c>
      <c r="K10" s="4" cm="1">
        <f t="array" ref="K10">_xlfn.IFS(
    OR(F10="Endangered", F10="Threatened"), 1,
    F10="Special Concern", 2,
    OR(G10&lt;&gt;"NA", H10&lt;&gt;"NA", OR(I10="Endangered", I10="Threatened", I10="Special Concern")), 3,
    OR(I10="Not Assessed", I10="Data Deficient", I10="Under Evaluation"), 4,
    I10="Not at Risk", 5
)</f>
        <v>3</v>
      </c>
    </row>
    <row r="11" spans="1:12" x14ac:dyDescent="0.25">
      <c r="A11" t="s">
        <v>64</v>
      </c>
      <c r="B11" t="s">
        <v>65</v>
      </c>
      <c r="C11" t="s">
        <v>284</v>
      </c>
      <c r="E11" t="s">
        <v>196</v>
      </c>
      <c r="F11" t="s">
        <v>274</v>
      </c>
      <c r="G11" t="s">
        <v>40</v>
      </c>
      <c r="H11" t="s">
        <v>40</v>
      </c>
      <c r="I11" t="s">
        <v>152</v>
      </c>
      <c r="J11" s="3" t="s">
        <v>213</v>
      </c>
      <c r="K11" s="4" cm="1">
        <f t="array" ref="K11">_xlfn.IFS(
    OR(F11="Endangered", F11="Threatened"), 1,
    F11="Special Concern", 2,
    OR(G11&lt;&gt;"NA", H11&lt;&gt;"NA", OR(I11="Endangered", I11="Threatened", I11="Special Concern")), 3,
    OR(I11="Not Assessed", I11="Data Deficient", I11="Under Evaluation"), 4,
    I11="Not at Risk", 5
)</f>
        <v>3</v>
      </c>
      <c r="L11" t="s">
        <v>223</v>
      </c>
    </row>
    <row r="12" spans="1:12" x14ac:dyDescent="0.25">
      <c r="A12" t="s">
        <v>66</v>
      </c>
      <c r="B12" t="s">
        <v>67</v>
      </c>
      <c r="C12" t="s">
        <v>13</v>
      </c>
      <c r="D12" t="s">
        <v>287</v>
      </c>
      <c r="E12" t="s">
        <v>204</v>
      </c>
      <c r="F12" t="s">
        <v>274</v>
      </c>
      <c r="G12" t="s">
        <v>40</v>
      </c>
      <c r="H12" t="s">
        <v>40</v>
      </c>
      <c r="I12" t="s">
        <v>151</v>
      </c>
      <c r="J12" s="3" t="s">
        <v>214</v>
      </c>
      <c r="K12" s="4" cm="1">
        <f t="array" ref="K12">_xlfn.IFS(
    OR(F12="Endangered", F12="Threatened"), 1,
    F12="Special Concern", 2,
    OR(G12&lt;&gt;"NA", H12&lt;&gt;"NA", OR(I12="Endangered", I12="Threatened", I12="Special Concern")), 3,
    OR(I12="Not Assessed", I12="Data Deficient", I12="Under Evaluation"), 4,
    I12="Not at Risk", 5
)</f>
        <v>3</v>
      </c>
    </row>
    <row r="13" spans="1:12" x14ac:dyDescent="0.25">
      <c r="A13" t="s">
        <v>68</v>
      </c>
      <c r="B13" t="s">
        <v>69</v>
      </c>
      <c r="C13" t="s">
        <v>284</v>
      </c>
      <c r="E13" t="s">
        <v>215</v>
      </c>
      <c r="F13" t="s">
        <v>274</v>
      </c>
      <c r="G13" t="s">
        <v>40</v>
      </c>
      <c r="H13" t="s">
        <v>40</v>
      </c>
      <c r="I13" t="s">
        <v>151</v>
      </c>
      <c r="J13" s="3" t="s">
        <v>211</v>
      </c>
      <c r="K13" s="4" cm="1">
        <f t="array" ref="K13">_xlfn.IFS(
    OR(F13="Endangered", F13="Threatened"), 1,
    F13="Special Concern", 2,
    OR(G13&lt;&gt;"NA", H13&lt;&gt;"NA", OR(I13="Endangered", I13="Threatened", I13="Special Concern")), 3,
    OR(I13="Not Assessed", I13="Data Deficient", I13="Under Evaluation"), 4,
    I13="Not at Risk", 5
)</f>
        <v>3</v>
      </c>
    </row>
    <row r="14" spans="1:12" x14ac:dyDescent="0.25">
      <c r="A14" t="s">
        <v>70</v>
      </c>
      <c r="B14" t="s">
        <v>71</v>
      </c>
      <c r="C14" t="s">
        <v>284</v>
      </c>
      <c r="E14" t="s">
        <v>219</v>
      </c>
      <c r="F14" t="s">
        <v>274</v>
      </c>
      <c r="G14" t="s">
        <v>40</v>
      </c>
      <c r="H14" t="s">
        <v>40</v>
      </c>
      <c r="I14" t="s">
        <v>152</v>
      </c>
      <c r="J14" s="3" t="s">
        <v>211</v>
      </c>
      <c r="K14" s="4" cm="1">
        <f t="array" ref="K14">_xlfn.IFS(
    OR(F14="Endangered", F14="Threatened"), 1,
    F14="Special Concern", 2,
    OR(G14&lt;&gt;"NA", H14&lt;&gt;"NA", OR(I14="Endangered", I14="Threatened", I14="Special Concern")), 3,
    OR(I14="Not Assessed", I14="Data Deficient", I14="Under Evaluation"), 4,
    I14="Not at Risk", 5
)</f>
        <v>3</v>
      </c>
    </row>
    <row r="15" spans="1:12" x14ac:dyDescent="0.25">
      <c r="A15" t="s">
        <v>72</v>
      </c>
      <c r="B15" t="s">
        <v>73</v>
      </c>
      <c r="C15" t="s">
        <v>13</v>
      </c>
      <c r="D15" t="s">
        <v>182</v>
      </c>
      <c r="E15" t="s">
        <v>220</v>
      </c>
      <c r="F15" t="s">
        <v>274</v>
      </c>
      <c r="G15" t="s">
        <v>40</v>
      </c>
      <c r="H15" t="s">
        <v>40</v>
      </c>
      <c r="I15" t="s">
        <v>153</v>
      </c>
      <c r="J15" s="3" t="s">
        <v>202</v>
      </c>
      <c r="K15" s="4" cm="1">
        <f t="array" ref="K15">_xlfn.IFS(
    OR(F15="Endangered", F15="Threatened"), 1,
    F15="Special Concern", 2,
    OR(G15&lt;&gt;"NA", H15&lt;&gt;"NA", OR(I15="Endangered", I15="Threatened", I15="Special Concern")), 3,
    OR(I15="Not Assessed", I15="Data Deficient", I15="Under Evaluation"), 4,
    I15="Not at Risk", 5
)</f>
        <v>3</v>
      </c>
    </row>
    <row r="16" spans="1:12" x14ac:dyDescent="0.25">
      <c r="A16" t="s">
        <v>74</v>
      </c>
      <c r="B16" t="s">
        <v>75</v>
      </c>
      <c r="C16" t="s">
        <v>13</v>
      </c>
      <c r="D16" t="s">
        <v>182</v>
      </c>
      <c r="E16" t="s">
        <v>221</v>
      </c>
      <c r="F16" t="s">
        <v>274</v>
      </c>
      <c r="G16" t="s">
        <v>40</v>
      </c>
      <c r="H16" t="s">
        <v>40</v>
      </c>
      <c r="I16" t="s">
        <v>152</v>
      </c>
      <c r="J16" s="3" t="s">
        <v>222</v>
      </c>
      <c r="K16" s="4" cm="1">
        <f t="array" ref="K16">_xlfn.IFS(
    OR(F16="Endangered", F16="Threatened"), 1,
    F16="Special Concern", 2,
    OR(G16&lt;&gt;"NA", H16&lt;&gt;"NA", OR(I16="Endangered", I16="Threatened", I16="Special Concern")), 3,
    OR(I16="Not Assessed", I16="Data Deficient", I16="Under Evaluation"), 4,
    I16="Not at Risk", 5
)</f>
        <v>3</v>
      </c>
    </row>
    <row r="17" spans="1:12" x14ac:dyDescent="0.25">
      <c r="A17" t="s">
        <v>76</v>
      </c>
      <c r="B17" t="s">
        <v>77</v>
      </c>
      <c r="C17" t="s">
        <v>13</v>
      </c>
      <c r="D17" t="s">
        <v>288</v>
      </c>
      <c r="E17" t="s">
        <v>205</v>
      </c>
      <c r="F17" t="s">
        <v>153</v>
      </c>
      <c r="G17" t="s">
        <v>40</v>
      </c>
      <c r="H17" t="s">
        <v>40</v>
      </c>
      <c r="I17" t="s">
        <v>153</v>
      </c>
      <c r="J17" s="3" t="s">
        <v>203</v>
      </c>
      <c r="K17" s="4" cm="1">
        <f t="array" ref="K17">_xlfn.IFS(
    OR(F17="Endangered", F17="Threatened"), 1,
    F17="Special Concern", 2,
    OR(G17&lt;&gt;"NA", H17&lt;&gt;"NA", OR(I17="Endangered", I17="Threatened", I17="Special Concern")), 3,
    OR(I17="Not Assessed", I17="Data Deficient", I17="Under Evaluation"), 4,
    I17="Not at Risk", 5
)</f>
        <v>2</v>
      </c>
    </row>
    <row r="18" spans="1:12" x14ac:dyDescent="0.25">
      <c r="A18" t="s">
        <v>78</v>
      </c>
      <c r="B18" t="s">
        <v>79</v>
      </c>
      <c r="C18" t="s">
        <v>267</v>
      </c>
      <c r="E18" t="s">
        <v>205</v>
      </c>
      <c r="F18" t="s">
        <v>275</v>
      </c>
      <c r="G18" t="s">
        <v>40</v>
      </c>
      <c r="H18" t="s">
        <v>40</v>
      </c>
      <c r="I18" t="s">
        <v>152</v>
      </c>
      <c r="J18" s="3" t="s">
        <v>206</v>
      </c>
      <c r="K18" s="4" cm="1">
        <f t="array" ref="K18">_xlfn.IFS(
    OR(F18="Endangered", F18="Threatened"), 1,
    F18="Special Concern", 2,
    OR(G18&lt;&gt;"NA", H18&lt;&gt;"NA", OR(I18="Endangered", I18="Threatened", I18="Special Concern")), 3,
    OR(I18="Not Assessed", I18="Data Deficient", I18="Under Evaluation"), 4,
    I18="Not at Risk", 5
)</f>
        <v>3</v>
      </c>
    </row>
    <row r="19" spans="1:12" x14ac:dyDescent="0.25">
      <c r="A19" t="s">
        <v>80</v>
      </c>
      <c r="B19" t="s">
        <v>81</v>
      </c>
      <c r="C19" t="s">
        <v>267</v>
      </c>
      <c r="E19" t="s">
        <v>40</v>
      </c>
      <c r="F19" t="s">
        <v>150</v>
      </c>
      <c r="G19" t="s">
        <v>40</v>
      </c>
      <c r="H19" t="s">
        <v>40</v>
      </c>
      <c r="I19" t="s">
        <v>154</v>
      </c>
      <c r="J19" s="3" t="s">
        <v>40</v>
      </c>
      <c r="K19" s="4" cm="1">
        <f t="array" ref="K19">_xlfn.IFS(
    OR(F19="Endangered", F19="Threatened"), 1,
    F19="Special Concern", 2,
    OR(G19&lt;&gt;"NA", H19&lt;&gt;"NA", OR(I19="Endangered", I19="Threatened", I19="Special Concern")), 3,
    OR(I19="Not Assessed", I19="Data Deficient", I19="Under Evaluation"), 4,
    I19="Not at Risk", 5
)</f>
        <v>4</v>
      </c>
      <c r="L19" t="s">
        <v>223</v>
      </c>
    </row>
    <row r="20" spans="1:12" x14ac:dyDescent="0.25">
      <c r="A20" t="s">
        <v>82</v>
      </c>
      <c r="B20" t="s">
        <v>83</v>
      </c>
      <c r="C20" t="s">
        <v>267</v>
      </c>
      <c r="E20" t="s">
        <v>40</v>
      </c>
      <c r="F20" t="s">
        <v>150</v>
      </c>
      <c r="G20" t="s">
        <v>40</v>
      </c>
      <c r="H20" t="s">
        <v>40</v>
      </c>
      <c r="I20" t="s">
        <v>154</v>
      </c>
      <c r="J20" s="3" t="s">
        <v>40</v>
      </c>
      <c r="K20" s="4" cm="1">
        <f t="array" ref="K20">_xlfn.IFS(
    OR(F20="Endangered", F20="Threatened"), 1,
    F20="Special Concern", 2,
    OR(G20&lt;&gt;"NA", H20&lt;&gt;"NA", OR(I20="Endangered", I20="Threatened", I20="Special Concern")), 3,
    OR(I20="Not Assessed", I20="Data Deficient", I20="Under Evaluation"), 4,
    I20="Not at Risk", 5
)</f>
        <v>4</v>
      </c>
      <c r="L20" t="s">
        <v>223</v>
      </c>
    </row>
    <row r="21" spans="1:12" x14ac:dyDescent="0.25">
      <c r="A21" t="s">
        <v>84</v>
      </c>
      <c r="B21" t="s">
        <v>85</v>
      </c>
      <c r="C21" t="s">
        <v>267</v>
      </c>
      <c r="E21" t="s">
        <v>40</v>
      </c>
      <c r="F21" t="s">
        <v>150</v>
      </c>
      <c r="G21" t="s">
        <v>40</v>
      </c>
      <c r="H21" t="s">
        <v>40</v>
      </c>
      <c r="I21" t="s">
        <v>154</v>
      </c>
      <c r="J21" s="3" t="s">
        <v>40</v>
      </c>
      <c r="K21" s="4" cm="1">
        <f t="array" ref="K21">_xlfn.IFS(
    OR(F21="Endangered", F21="Threatened"), 1,
    F21="Special Concern", 2,
    OR(G21&lt;&gt;"NA", H21&lt;&gt;"NA", OR(I21="Endangered", I21="Threatened", I21="Special Concern")), 3,
    OR(I21="Not Assessed", I21="Data Deficient", I21="Under Evaluation"), 4,
    I21="Not at Risk", 5
)</f>
        <v>4</v>
      </c>
      <c r="L21" t="s">
        <v>223</v>
      </c>
    </row>
    <row r="22" spans="1:12" x14ac:dyDescent="0.25">
      <c r="A22" t="s">
        <v>86</v>
      </c>
      <c r="B22" t="s">
        <v>87</v>
      </c>
      <c r="C22" t="s">
        <v>270</v>
      </c>
      <c r="E22" t="s">
        <v>40</v>
      </c>
      <c r="F22" t="s">
        <v>150</v>
      </c>
      <c r="G22" t="s">
        <v>40</v>
      </c>
      <c r="H22" t="s">
        <v>40</v>
      </c>
      <c r="I22" t="s">
        <v>154</v>
      </c>
      <c r="J22" s="3" t="s">
        <v>40</v>
      </c>
      <c r="K22" s="4" cm="1">
        <f t="array" ref="K22">_xlfn.IFS(
    OR(F22="Endangered", F22="Threatened"), 1,
    F22="Special Concern", 2,
    OR(G22&lt;&gt;"NA", H22&lt;&gt;"NA", OR(I22="Endangered", I22="Threatened", I22="Special Concern")), 3,
    OR(I22="Not Assessed", I22="Data Deficient", I22="Under Evaluation"), 4,
    I22="Not at Risk", 5
)</f>
        <v>4</v>
      </c>
      <c r="L22" t="s">
        <v>223</v>
      </c>
    </row>
    <row r="23" spans="1:12" x14ac:dyDescent="0.25">
      <c r="A23" t="s">
        <v>88</v>
      </c>
      <c r="B23" t="s">
        <v>89</v>
      </c>
      <c r="C23" t="s">
        <v>270</v>
      </c>
      <c r="E23" t="s">
        <v>40</v>
      </c>
      <c r="F23" t="s">
        <v>150</v>
      </c>
      <c r="G23" t="s">
        <v>40</v>
      </c>
      <c r="H23" t="s">
        <v>40</v>
      </c>
      <c r="I23" t="s">
        <v>154</v>
      </c>
      <c r="J23" s="3" t="s">
        <v>40</v>
      </c>
      <c r="K23" s="4" cm="1">
        <f t="array" ref="K23">_xlfn.IFS(
    OR(F23="Endangered", F23="Threatened"), 1,
    F23="Special Concern", 2,
    OR(G23&lt;&gt;"NA", H23&lt;&gt;"NA", OR(I23="Endangered", I23="Threatened", I23="Special Concern")), 3,
    OR(I23="Not Assessed", I23="Data Deficient", I23="Under Evaluation"), 4,
    I23="Not at Risk", 5
)</f>
        <v>4</v>
      </c>
      <c r="L23" t="s">
        <v>223</v>
      </c>
    </row>
    <row r="24" spans="1:12" x14ac:dyDescent="0.25">
      <c r="A24" t="s">
        <v>90</v>
      </c>
      <c r="B24" t="s">
        <v>91</v>
      </c>
      <c r="C24" t="s">
        <v>268</v>
      </c>
      <c r="E24" t="s">
        <v>40</v>
      </c>
      <c r="F24" t="s">
        <v>150</v>
      </c>
      <c r="G24" t="s">
        <v>40</v>
      </c>
      <c r="H24" t="s">
        <v>40</v>
      </c>
      <c r="I24" t="s">
        <v>154</v>
      </c>
      <c r="J24" s="3" t="s">
        <v>40</v>
      </c>
      <c r="K24" s="4" cm="1">
        <f t="array" ref="K24">_xlfn.IFS(
    OR(F24="Endangered", F24="Threatened"), 1,
    F24="Special Concern", 2,
    OR(G24&lt;&gt;"NA", H24&lt;&gt;"NA", OR(I24="Endangered", I24="Threatened", I24="Special Concern")), 3,
    OR(I24="Not Assessed", I24="Data Deficient", I24="Under Evaluation"), 4,
    I24="Not at Risk", 5
)</f>
        <v>4</v>
      </c>
      <c r="L24" t="s">
        <v>223</v>
      </c>
    </row>
    <row r="25" spans="1:12" x14ac:dyDescent="0.25">
      <c r="A25" t="s">
        <v>92</v>
      </c>
      <c r="B25" t="s">
        <v>93</v>
      </c>
      <c r="C25" t="s">
        <v>31</v>
      </c>
      <c r="D25" t="s">
        <v>182</v>
      </c>
      <c r="E25" t="s">
        <v>40</v>
      </c>
      <c r="F25" t="s">
        <v>150</v>
      </c>
      <c r="G25" t="s">
        <v>40</v>
      </c>
      <c r="H25" t="s">
        <v>40</v>
      </c>
      <c r="I25" t="s">
        <v>154</v>
      </c>
      <c r="J25" s="3" t="s">
        <v>40</v>
      </c>
      <c r="K25" s="4" cm="1">
        <f t="array" ref="K25">_xlfn.IFS(
    OR(F25="Endangered", F25="Threatened"), 1,
    F25="Special Concern", 2,
    OR(G25&lt;&gt;"NA", H25&lt;&gt;"NA", OR(I25="Endangered", I25="Threatened", I25="Special Concern")), 3,
    OR(I25="Not Assessed", I25="Data Deficient", I25="Under Evaluation"), 4,
    I25="Not at Risk", 5
)</f>
        <v>4</v>
      </c>
      <c r="L25" t="s">
        <v>223</v>
      </c>
    </row>
    <row r="26" spans="1:12" x14ac:dyDescent="0.25">
      <c r="A26" t="s">
        <v>224</v>
      </c>
      <c r="B26" t="s">
        <v>225</v>
      </c>
      <c r="C26" t="s">
        <v>31</v>
      </c>
      <c r="D26" t="s">
        <v>182</v>
      </c>
      <c r="E26" t="s">
        <v>205</v>
      </c>
      <c r="F26" t="s">
        <v>150</v>
      </c>
      <c r="G26" t="s">
        <v>40</v>
      </c>
      <c r="H26" t="s">
        <v>40</v>
      </c>
      <c r="I26" t="s">
        <v>156</v>
      </c>
      <c r="J26" s="3" t="s">
        <v>226</v>
      </c>
      <c r="K26" s="4" cm="1">
        <f t="array" ref="K26">_xlfn.IFS(
    OR(F26="Endangered", F26="Threatened"), 1,
    F26="Special Concern", 2,
    OR(G26&lt;&gt;"NA", H26&lt;&gt;"NA", OR(I26="Endangered", I26="Threatened", I26="Special Concern")), 3,
    OR(I26="Not Assessed", I26="Data Deficient", I26="Under Evaluation"), 4,
    I26="Not at Risk", 5
)</f>
        <v>5</v>
      </c>
      <c r="L26" t="s">
        <v>227</v>
      </c>
    </row>
    <row r="27" spans="1:12" x14ac:dyDescent="0.25">
      <c r="A27" t="s">
        <v>94</v>
      </c>
      <c r="B27" t="s">
        <v>95</v>
      </c>
      <c r="C27" t="s">
        <v>13</v>
      </c>
      <c r="D27" t="s">
        <v>271</v>
      </c>
      <c r="E27" t="s">
        <v>40</v>
      </c>
      <c r="F27" t="s">
        <v>150</v>
      </c>
      <c r="G27" t="s">
        <v>40</v>
      </c>
      <c r="H27" t="s">
        <v>40</v>
      </c>
      <c r="I27" t="s">
        <v>155</v>
      </c>
      <c r="J27" s="3" t="s">
        <v>40</v>
      </c>
      <c r="K27" s="4" cm="1">
        <f t="array" ref="K27">_xlfn.IFS(
    OR(F27="Endangered", F27="Threatened"), 1,
    F27="Special Concern", 2,
    OR(G27&lt;&gt;"NA", H27&lt;&gt;"NA", OR(I27="Endangered", I27="Threatened", I27="Special Concern")), 3,
    OR(I27="Not Assessed", I27="Data Deficient", I27="Under Evaluation"), 4,
    I27="Not at Risk", 5
)</f>
        <v>4</v>
      </c>
      <c r="L27" t="s">
        <v>269</v>
      </c>
    </row>
    <row r="28" spans="1:12" x14ac:dyDescent="0.25">
      <c r="A28" t="s">
        <v>96</v>
      </c>
      <c r="B28" t="s">
        <v>97</v>
      </c>
      <c r="C28" t="s">
        <v>13</v>
      </c>
      <c r="D28" t="s">
        <v>182</v>
      </c>
      <c r="E28" t="s">
        <v>215</v>
      </c>
      <c r="F28" t="s">
        <v>274</v>
      </c>
      <c r="G28" t="s">
        <v>40</v>
      </c>
      <c r="H28" t="s">
        <v>40</v>
      </c>
      <c r="I28" t="s">
        <v>153</v>
      </c>
      <c r="J28" s="3" t="s">
        <v>228</v>
      </c>
      <c r="K28" s="4" cm="1">
        <f t="array" ref="K28">_xlfn.IFS(
    OR(F28="Endangered", F28="Threatened"), 1,
    F28="Special Concern", 2,
    OR(G28&lt;&gt;"NA", H28&lt;&gt;"NA", OR(I28="Endangered", I28="Threatened", I28="Special Concern")), 3,
    OR(I28="Not Assessed", I28="Data Deficient", I28="Under Evaluation"), 4,
    I28="Not at Risk", 5
)</f>
        <v>3</v>
      </c>
    </row>
    <row r="29" spans="1:12" x14ac:dyDescent="0.25">
      <c r="A29" t="s">
        <v>98</v>
      </c>
      <c r="B29" t="s">
        <v>99</v>
      </c>
      <c r="C29" t="s">
        <v>13</v>
      </c>
      <c r="D29" t="s">
        <v>182</v>
      </c>
      <c r="E29" t="s">
        <v>215</v>
      </c>
      <c r="F29" t="s">
        <v>274</v>
      </c>
      <c r="G29" t="s">
        <v>40</v>
      </c>
      <c r="H29" t="s">
        <v>40</v>
      </c>
      <c r="I29" t="s">
        <v>153</v>
      </c>
      <c r="J29" s="3" t="s">
        <v>211</v>
      </c>
      <c r="K29" s="4" cm="1">
        <f t="array" ref="K29">_xlfn.IFS(
    OR(F29="Endangered", F29="Threatened"), 1,
    F29="Special Concern", 2,
    OR(G29&lt;&gt;"NA", H29&lt;&gt;"NA", OR(I29="Endangered", I29="Threatened", I29="Special Concern")), 3,
    OR(I29="Not Assessed", I29="Data Deficient", I29="Under Evaluation"), 4,
    I29="Not at Risk", 5
)</f>
        <v>3</v>
      </c>
    </row>
    <row r="30" spans="1:12" x14ac:dyDescent="0.25">
      <c r="A30" t="s">
        <v>100</v>
      </c>
      <c r="B30" t="s">
        <v>101</v>
      </c>
      <c r="C30" t="s">
        <v>13</v>
      </c>
      <c r="D30" t="s">
        <v>182</v>
      </c>
      <c r="E30" t="s">
        <v>205</v>
      </c>
      <c r="F30" t="s">
        <v>274</v>
      </c>
      <c r="G30" t="s">
        <v>40</v>
      </c>
      <c r="H30" t="s">
        <v>40</v>
      </c>
      <c r="I30" t="s">
        <v>152</v>
      </c>
      <c r="J30" s="3" t="s">
        <v>229</v>
      </c>
      <c r="K30" s="4" cm="1">
        <f t="array" ref="K30">_xlfn.IFS(
    OR(F30="Endangered", F30="Threatened"), 1,
    F30="Special Concern", 2,
    OR(G30&lt;&gt;"NA", H30&lt;&gt;"NA", OR(I30="Endangered", I30="Threatened", I30="Special Concern")), 3,
    OR(I30="Not Assessed", I30="Data Deficient", I30="Under Evaluation"), 4,
    I30="Not at Risk", 5
)</f>
        <v>3</v>
      </c>
      <c r="L30" t="s">
        <v>281</v>
      </c>
    </row>
    <row r="31" spans="1:12" x14ac:dyDescent="0.25">
      <c r="A31" t="s">
        <v>102</v>
      </c>
      <c r="B31" t="s">
        <v>103</v>
      </c>
      <c r="C31" t="s">
        <v>13</v>
      </c>
      <c r="D31" t="s">
        <v>182</v>
      </c>
      <c r="E31" t="s">
        <v>215</v>
      </c>
      <c r="F31" t="s">
        <v>274</v>
      </c>
      <c r="G31" t="s">
        <v>40</v>
      </c>
      <c r="H31" t="s">
        <v>40</v>
      </c>
      <c r="I31" t="s">
        <v>152</v>
      </c>
      <c r="J31" s="3" t="s">
        <v>230</v>
      </c>
      <c r="K31" s="4" cm="1">
        <f t="array" ref="K31">_xlfn.IFS(
    OR(F31="Endangered", F31="Threatened"), 1,
    F31="Special Concern", 2,
    OR(G31&lt;&gt;"NA", H31&lt;&gt;"NA", OR(I31="Endangered", I31="Threatened", I31="Special Concern")), 3,
    OR(I31="Not Assessed", I31="Data Deficient", I31="Under Evaluation"), 4,
    I31="Not at Risk", 5
)</f>
        <v>3</v>
      </c>
      <c r="L31" t="s">
        <v>282</v>
      </c>
    </row>
    <row r="32" spans="1:12" x14ac:dyDescent="0.25">
      <c r="A32" t="s">
        <v>104</v>
      </c>
      <c r="B32" t="s">
        <v>105</v>
      </c>
      <c r="C32" t="s">
        <v>13</v>
      </c>
      <c r="D32" t="s">
        <v>182</v>
      </c>
      <c r="E32" t="s">
        <v>215</v>
      </c>
      <c r="F32" t="s">
        <v>152</v>
      </c>
      <c r="G32" t="s">
        <v>40</v>
      </c>
      <c r="H32" t="s">
        <v>40</v>
      </c>
      <c r="I32" t="s">
        <v>152</v>
      </c>
      <c r="J32" s="3" t="s">
        <v>231</v>
      </c>
      <c r="K32" s="4" cm="1">
        <f t="array" ref="K32">_xlfn.IFS(
    OR(F32="Endangered", F32="Threatened"), 1,
    F32="Special Concern", 2,
    OR(G32&lt;&gt;"NA", H32&lt;&gt;"NA", OR(I32="Endangered", I32="Threatened", I32="Special Concern")), 3,
    OR(I32="Not Assessed", I32="Data Deficient", I32="Under Evaluation"), 4,
    I32="Not at Risk", 5
)</f>
        <v>1</v>
      </c>
    </row>
    <row r="33" spans="1:12" x14ac:dyDescent="0.25">
      <c r="A33" t="s">
        <v>106</v>
      </c>
      <c r="B33" t="s">
        <v>107</v>
      </c>
      <c r="C33" t="s">
        <v>35</v>
      </c>
      <c r="D33" t="s">
        <v>182</v>
      </c>
      <c r="E33" t="s">
        <v>215</v>
      </c>
      <c r="F33" t="s">
        <v>152</v>
      </c>
      <c r="G33" t="s">
        <v>40</v>
      </c>
      <c r="H33" t="s">
        <v>40</v>
      </c>
      <c r="I33" t="s">
        <v>152</v>
      </c>
      <c r="J33" s="3" t="s">
        <v>233</v>
      </c>
      <c r="K33" s="4" cm="1">
        <f t="array" ref="K33">_xlfn.IFS(
    OR(F33="Endangered", F33="Threatened"), 1,
    F33="Special Concern", 2,
    OR(G33&lt;&gt;"NA", H33&lt;&gt;"NA", OR(I33="Endangered", I33="Threatened", I33="Special Concern")), 3,
    OR(I33="Not Assessed", I33="Data Deficient", I33="Under Evaluation"), 4,
    I33="Not at Risk", 5
)</f>
        <v>1</v>
      </c>
    </row>
    <row r="34" spans="1:12" x14ac:dyDescent="0.25">
      <c r="A34" t="s">
        <v>108</v>
      </c>
      <c r="B34" t="s">
        <v>109</v>
      </c>
      <c r="C34" t="s">
        <v>35</v>
      </c>
      <c r="D34" t="s">
        <v>182</v>
      </c>
      <c r="E34" t="s">
        <v>205</v>
      </c>
      <c r="F34" t="s">
        <v>152</v>
      </c>
      <c r="G34" t="s">
        <v>40</v>
      </c>
      <c r="H34" t="s">
        <v>40</v>
      </c>
      <c r="I34" t="s">
        <v>152</v>
      </c>
      <c r="J34" s="3" t="s">
        <v>211</v>
      </c>
      <c r="K34" s="4" cm="1">
        <f t="array" ref="K34">_xlfn.IFS(
    OR(F34="Endangered", F34="Threatened"), 1,
    F34="Special Concern", 2,
    OR(G34&lt;&gt;"NA", H34&lt;&gt;"NA", OR(I34="Endangered", I34="Threatened", I34="Special Concern")), 3,
    OR(I34="Not Assessed", I34="Data Deficient", I34="Under Evaluation"), 4,
    I34="Not at Risk", 5
)</f>
        <v>1</v>
      </c>
    </row>
    <row r="35" spans="1:12" x14ac:dyDescent="0.25">
      <c r="A35" t="s">
        <v>110</v>
      </c>
      <c r="B35" t="s">
        <v>111</v>
      </c>
      <c r="C35" t="s">
        <v>35</v>
      </c>
      <c r="D35" t="s">
        <v>182</v>
      </c>
      <c r="E35" t="s">
        <v>40</v>
      </c>
      <c r="F35" t="s">
        <v>150</v>
      </c>
      <c r="G35" t="s">
        <v>40</v>
      </c>
      <c r="H35" t="s">
        <v>40</v>
      </c>
      <c r="I35" t="s">
        <v>154</v>
      </c>
      <c r="J35" s="3" t="s">
        <v>40</v>
      </c>
      <c r="K35" s="4" cm="1">
        <f t="array" ref="K35">_xlfn.IFS(
    OR(F35="Endangered", F35="Threatened"), 1,
    F35="Special Concern", 2,
    OR(G35&lt;&gt;"NA", H35&lt;&gt;"NA", OR(I35="Endangered", I35="Threatened", I35="Special Concern")), 3,
    OR(I35="Not Assessed", I35="Data Deficient", I35="Under Evaluation"), 4,
    I35="Not at Risk", 5
)</f>
        <v>4</v>
      </c>
      <c r="L35" t="s">
        <v>223</v>
      </c>
    </row>
    <row r="36" spans="1:12" x14ac:dyDescent="0.25">
      <c r="A36" t="s">
        <v>112</v>
      </c>
      <c r="B36" t="s">
        <v>113</v>
      </c>
      <c r="C36" t="s">
        <v>35</v>
      </c>
      <c r="D36" t="s">
        <v>182</v>
      </c>
      <c r="E36" t="s">
        <v>40</v>
      </c>
      <c r="F36" t="s">
        <v>150</v>
      </c>
      <c r="G36" t="s">
        <v>40</v>
      </c>
      <c r="H36" t="s">
        <v>40</v>
      </c>
      <c r="I36" t="s">
        <v>154</v>
      </c>
      <c r="J36" s="3" t="s">
        <v>40</v>
      </c>
      <c r="K36" s="4" cm="1">
        <f t="array" ref="K36">_xlfn.IFS(
    OR(F36="Endangered", F36="Threatened"), 1,
    F36="Special Concern", 2,
    OR(G36&lt;&gt;"NA", H36&lt;&gt;"NA", OR(I36="Endangered", I36="Threatened", I36="Special Concern")), 3,
    OR(I36="Not Assessed", I36="Data Deficient", I36="Under Evaluation"), 4,
    I36="Not at Risk", 5
)</f>
        <v>4</v>
      </c>
      <c r="L36" t="s">
        <v>223</v>
      </c>
    </row>
    <row r="37" spans="1:12" x14ac:dyDescent="0.25">
      <c r="A37" t="s">
        <v>114</v>
      </c>
      <c r="B37" t="s">
        <v>115</v>
      </c>
      <c r="C37" t="s">
        <v>8</v>
      </c>
      <c r="D37" t="s">
        <v>273</v>
      </c>
      <c r="E37" t="s">
        <v>215</v>
      </c>
      <c r="F37" t="s">
        <v>152</v>
      </c>
      <c r="G37" t="s">
        <v>40</v>
      </c>
      <c r="H37" t="s">
        <v>40</v>
      </c>
      <c r="I37" t="s">
        <v>152</v>
      </c>
      <c r="J37" s="3" t="s">
        <v>202</v>
      </c>
      <c r="K37" s="4" cm="1">
        <f t="array" ref="K37">_xlfn.IFS(
    OR(F37="Endangered", F37="Threatened"), 1,
    F37="Special Concern", 2,
    OR(G37&lt;&gt;"NA", H37&lt;&gt;"NA", OR(I37="Endangered", I37="Threatened", I37="Special Concern")), 3,
    OR(I37="Not Assessed", I37="Data Deficient", I37="Under Evaluation"), 4,
    I37="Not at Risk", 5
)</f>
        <v>1</v>
      </c>
      <c r="L37" t="s">
        <v>237</v>
      </c>
    </row>
    <row r="38" spans="1:12" x14ac:dyDescent="0.25">
      <c r="A38" t="s">
        <v>116</v>
      </c>
      <c r="B38" t="s">
        <v>117</v>
      </c>
      <c r="C38" t="s">
        <v>8</v>
      </c>
      <c r="D38" t="s">
        <v>273</v>
      </c>
      <c r="E38" t="s">
        <v>215</v>
      </c>
      <c r="F38" t="s">
        <v>153</v>
      </c>
      <c r="G38" t="s">
        <v>40</v>
      </c>
      <c r="H38" t="s">
        <v>40</v>
      </c>
      <c r="I38" t="s">
        <v>153</v>
      </c>
      <c r="J38" s="3" t="s">
        <v>230</v>
      </c>
      <c r="K38" s="4" cm="1">
        <f t="array" ref="K38">_xlfn.IFS(
    OR(F38="Endangered", F38="Threatened"), 1,
    F38="Special Concern", 2,
    OR(G38&lt;&gt;"NA", H38&lt;&gt;"NA", OR(I38="Endangered", I38="Threatened", I38="Special Concern")), 3,
    OR(I38="Not Assessed", I38="Data Deficient", I38="Under Evaluation"), 4,
    I38="Not at Risk", 5
)</f>
        <v>2</v>
      </c>
      <c r="L38" t="s">
        <v>241</v>
      </c>
    </row>
    <row r="39" spans="1:12" x14ac:dyDescent="0.25">
      <c r="A39" t="s">
        <v>118</v>
      </c>
      <c r="B39" t="s">
        <v>119</v>
      </c>
      <c r="C39" t="s">
        <v>8</v>
      </c>
      <c r="D39" t="s">
        <v>273</v>
      </c>
      <c r="E39" t="s">
        <v>215</v>
      </c>
      <c r="F39" t="s">
        <v>274</v>
      </c>
      <c r="G39" t="s">
        <v>40</v>
      </c>
      <c r="H39" t="s">
        <v>40</v>
      </c>
      <c r="I39" t="s">
        <v>152</v>
      </c>
      <c r="J39" s="3" t="s">
        <v>230</v>
      </c>
      <c r="K39" s="4" cm="1">
        <f t="array" ref="K39">_xlfn.IFS(
    OR(F39="Endangered", F39="Threatened"), 1,
    F39="Special Concern", 2,
    OR(G39&lt;&gt;"NA", H39&lt;&gt;"NA", OR(I39="Endangered", I39="Threatened", I39="Special Concern")), 3,
    OR(I39="Not Assessed", I39="Data Deficient", I39="Under Evaluation"), 4,
    I39="Not at Risk", 5
)</f>
        <v>3</v>
      </c>
      <c r="L39" t="s">
        <v>283</v>
      </c>
    </row>
    <row r="40" spans="1:12" x14ac:dyDescent="0.25">
      <c r="A40" t="s">
        <v>120</v>
      </c>
      <c r="B40" t="s">
        <v>121</v>
      </c>
      <c r="C40" t="s">
        <v>8</v>
      </c>
      <c r="D40" t="s">
        <v>273</v>
      </c>
      <c r="E40" t="s">
        <v>215</v>
      </c>
      <c r="F40" t="s">
        <v>150</v>
      </c>
      <c r="G40" t="s">
        <v>40</v>
      </c>
      <c r="H40" t="s">
        <v>40</v>
      </c>
      <c r="I40" t="s">
        <v>156</v>
      </c>
      <c r="J40" s="3" t="s">
        <v>238</v>
      </c>
      <c r="K40" s="4" cm="1">
        <f t="array" ref="K40">_xlfn.IFS(
    OR(F40="Endangered", F40="Threatened"), 1,
    F40="Special Concern", 2,
    OR(G40&lt;&gt;"NA", H40&lt;&gt;"NA", OR(I40="Endangered", I40="Threatened", I40="Special Concern")), 3,
    OR(I40="Not Assessed", I40="Data Deficient", I40="Under Evaluation"), 4,
    I40="Not at Risk", 5
)</f>
        <v>5</v>
      </c>
      <c r="L40" t="s">
        <v>223</v>
      </c>
    </row>
    <row r="41" spans="1:12" x14ac:dyDescent="0.25">
      <c r="A41" t="s">
        <v>122</v>
      </c>
      <c r="B41" t="s">
        <v>123</v>
      </c>
      <c r="C41" t="s">
        <v>8</v>
      </c>
      <c r="D41" t="s">
        <v>273</v>
      </c>
      <c r="E41" t="s">
        <v>242</v>
      </c>
      <c r="F41" t="s">
        <v>150</v>
      </c>
      <c r="G41" t="s">
        <v>40</v>
      </c>
      <c r="H41" t="s">
        <v>40</v>
      </c>
      <c r="I41" t="s">
        <v>156</v>
      </c>
      <c r="J41" s="3" t="s">
        <v>243</v>
      </c>
      <c r="K41" s="4" cm="1">
        <f t="array" ref="K41">_xlfn.IFS(
    OR(F41="Endangered", F41="Threatened"), 1,
    F41="Special Concern", 2,
    OR(G41&lt;&gt;"NA", H41&lt;&gt;"NA", OR(I41="Endangered", I41="Threatened", I41="Special Concern")), 3,
    OR(I41="Not Assessed", I41="Data Deficient", I41="Under Evaluation"), 4,
    I41="Not at Risk", 5
)</f>
        <v>5</v>
      </c>
      <c r="L41" t="s">
        <v>223</v>
      </c>
    </row>
    <row r="42" spans="1:12" x14ac:dyDescent="0.25">
      <c r="A42" t="s">
        <v>124</v>
      </c>
      <c r="B42" t="s">
        <v>125</v>
      </c>
      <c r="C42" t="s">
        <v>8</v>
      </c>
      <c r="D42" t="s">
        <v>273</v>
      </c>
      <c r="E42" t="s">
        <v>205</v>
      </c>
      <c r="F42" t="s">
        <v>152</v>
      </c>
      <c r="G42" t="s">
        <v>40</v>
      </c>
      <c r="H42" t="s">
        <v>40</v>
      </c>
      <c r="I42" t="s">
        <v>152</v>
      </c>
      <c r="J42" s="3" t="s">
        <v>213</v>
      </c>
      <c r="K42" s="4" cm="1">
        <f t="array" ref="K42">_xlfn.IFS(
    OR(F42="Endangered", F42="Threatened"), 1,
    F42="Special Concern", 2,
    OR(G42&lt;&gt;"NA", H42&lt;&gt;"NA", OR(I42="Endangered", I42="Threatened", I42="Special Concern")), 3,
    OR(I42="Not Assessed", I42="Data Deficient", I42="Under Evaluation"), 4,
    I42="Not at Risk", 5
)</f>
        <v>1</v>
      </c>
      <c r="L42" t="s">
        <v>247</v>
      </c>
    </row>
    <row r="43" spans="1:12" x14ac:dyDescent="0.25">
      <c r="A43" t="s">
        <v>126</v>
      </c>
      <c r="B43" t="s">
        <v>127</v>
      </c>
      <c r="C43" t="s">
        <v>11</v>
      </c>
      <c r="D43" t="s">
        <v>273</v>
      </c>
      <c r="E43" t="s">
        <v>205</v>
      </c>
      <c r="F43" t="s">
        <v>150</v>
      </c>
      <c r="G43" t="s">
        <v>40</v>
      </c>
      <c r="H43" t="s">
        <v>40</v>
      </c>
      <c r="I43" t="s">
        <v>156</v>
      </c>
      <c r="J43" s="3" t="s">
        <v>252</v>
      </c>
      <c r="K43" s="4" cm="1">
        <f t="array" ref="K43">_xlfn.IFS(
    OR(F43="Endangered", F43="Threatened"), 1,
    F43="Special Concern", 2,
    OR(G43&lt;&gt;"NA", H43&lt;&gt;"NA", OR(I43="Endangered", I43="Threatened", I43="Special Concern")), 3,
    OR(I43="Not Assessed", I43="Data Deficient", I43="Under Evaluation"), 4,
    I43="Not at Risk", 5
)</f>
        <v>5</v>
      </c>
      <c r="L43" t="s">
        <v>223</v>
      </c>
    </row>
    <row r="44" spans="1:12" x14ac:dyDescent="0.25">
      <c r="A44" t="s">
        <v>128</v>
      </c>
      <c r="B44" t="s">
        <v>129</v>
      </c>
      <c r="C44" t="s">
        <v>11</v>
      </c>
      <c r="D44" t="s">
        <v>273</v>
      </c>
      <c r="E44" t="s">
        <v>248</v>
      </c>
      <c r="F44" t="s">
        <v>152</v>
      </c>
      <c r="G44" t="s">
        <v>40</v>
      </c>
      <c r="H44" t="s">
        <v>40</v>
      </c>
      <c r="I44" t="s">
        <v>152</v>
      </c>
      <c r="J44" s="3" t="s">
        <v>250</v>
      </c>
      <c r="K44" s="4" cm="1">
        <f t="array" ref="K44">_xlfn.IFS(
    OR(F44="Endangered", F44="Threatened"), 1,
    F44="Special Concern", 2,
    OR(G44&lt;&gt;"NA", H44&lt;&gt;"NA", OR(I44="Endangered", I44="Threatened", I44="Special Concern")), 3,
    OR(I44="Not Assessed", I44="Data Deficient", I44="Under Evaluation"), 4,
    I44="Not at Risk", 5
)</f>
        <v>1</v>
      </c>
      <c r="L44" t="s">
        <v>249</v>
      </c>
    </row>
    <row r="45" spans="1:12" x14ac:dyDescent="0.25">
      <c r="A45" t="s">
        <v>130</v>
      </c>
      <c r="B45" t="s">
        <v>131</v>
      </c>
      <c r="C45" t="s">
        <v>11</v>
      </c>
      <c r="D45" t="s">
        <v>273</v>
      </c>
      <c r="E45" t="s">
        <v>205</v>
      </c>
      <c r="F45" t="s">
        <v>153</v>
      </c>
      <c r="G45" t="s">
        <v>40</v>
      </c>
      <c r="H45" t="s">
        <v>40</v>
      </c>
      <c r="I45" t="s">
        <v>153</v>
      </c>
      <c r="J45" s="3" t="s">
        <v>230</v>
      </c>
      <c r="K45" s="4" cm="1">
        <f t="array" ref="K45">_xlfn.IFS(
    OR(F45="Endangered", F45="Threatened"), 1,
    F45="Special Concern", 2,
    OR(G45&lt;&gt;"NA", H45&lt;&gt;"NA", OR(I45="Endangered", I45="Threatened", I45="Special Concern")), 3,
    OR(I45="Not Assessed", I45="Data Deficient", I45="Under Evaluation"), 4,
    I45="Not at Risk", 5
)</f>
        <v>2</v>
      </c>
      <c r="L45" t="s">
        <v>251</v>
      </c>
    </row>
    <row r="46" spans="1:12" x14ac:dyDescent="0.25">
      <c r="A46" t="s">
        <v>132</v>
      </c>
      <c r="B46" t="s">
        <v>133</v>
      </c>
      <c r="C46" t="s">
        <v>11</v>
      </c>
      <c r="D46" t="s">
        <v>273</v>
      </c>
      <c r="E46" t="s">
        <v>205</v>
      </c>
      <c r="F46" t="s">
        <v>150</v>
      </c>
      <c r="G46" t="s">
        <v>40</v>
      </c>
      <c r="H46" t="s">
        <v>40</v>
      </c>
      <c r="I46" t="s">
        <v>156</v>
      </c>
      <c r="J46" s="3" t="s">
        <v>239</v>
      </c>
      <c r="K46" s="4" cm="1">
        <f t="array" ref="K46">_xlfn.IFS(
    OR(F46="Endangered", F46="Threatened"), 1,
    F46="Special Concern", 2,
    OR(G46&lt;&gt;"NA", H46&lt;&gt;"NA", OR(I46="Endangered", I46="Threatened", I46="Special Concern")), 3,
    OR(I46="Not Assessed", I46="Data Deficient", I46="Under Evaluation"), 4,
    I46="Not at Risk", 5
)</f>
        <v>5</v>
      </c>
      <c r="L46" t="s">
        <v>223</v>
      </c>
    </row>
    <row r="47" spans="1:12" x14ac:dyDescent="0.25">
      <c r="A47" t="s">
        <v>134</v>
      </c>
      <c r="B47" t="s">
        <v>135</v>
      </c>
      <c r="C47" t="s">
        <v>11</v>
      </c>
      <c r="D47" t="s">
        <v>273</v>
      </c>
      <c r="E47" t="s">
        <v>205</v>
      </c>
      <c r="F47" t="s">
        <v>150</v>
      </c>
      <c r="G47" t="s">
        <v>40</v>
      </c>
      <c r="H47" t="s">
        <v>40</v>
      </c>
      <c r="I47" t="s">
        <v>156</v>
      </c>
      <c r="J47" s="3" t="s">
        <v>236</v>
      </c>
      <c r="K47" s="4" cm="1">
        <f t="array" ref="K47">_xlfn.IFS(
    OR(F47="Endangered", F47="Threatened"), 1,
    F47="Special Concern", 2,
    OR(G47&lt;&gt;"NA", H47&lt;&gt;"NA", OR(I47="Endangered", I47="Threatened", I47="Special Concern")), 3,
    OR(I47="Not Assessed", I47="Data Deficient", I47="Under Evaluation"), 4,
    I47="Not at Risk", 5
)</f>
        <v>5</v>
      </c>
      <c r="L47" t="s">
        <v>223</v>
      </c>
    </row>
    <row r="48" spans="1:12" x14ac:dyDescent="0.25">
      <c r="A48" t="s">
        <v>234</v>
      </c>
      <c r="B48" t="s">
        <v>235</v>
      </c>
      <c r="C48" t="s">
        <v>11</v>
      </c>
      <c r="D48" t="s">
        <v>273</v>
      </c>
      <c r="E48" t="s">
        <v>205</v>
      </c>
      <c r="F48" t="s">
        <v>150</v>
      </c>
      <c r="G48" t="s">
        <v>40</v>
      </c>
      <c r="H48" t="s">
        <v>40</v>
      </c>
      <c r="I48" t="s">
        <v>156</v>
      </c>
      <c r="J48" s="3" t="s">
        <v>236</v>
      </c>
      <c r="K48" s="4" cm="1">
        <f t="array" ref="K48">_xlfn.IFS(
    OR(F48="Endangered", F48="Threatened"), 1,
    F48="Special Concern", 2,
    OR(G48&lt;&gt;"NA", H48&lt;&gt;"NA", OR(I48="Endangered", I48="Threatened", I48="Special Concern")), 3,
    OR(I48="Not Assessed", I48="Data Deficient", I48="Under Evaluation"), 4,
    I48="Not at Risk", 5
)</f>
        <v>5</v>
      </c>
      <c r="L48" t="s">
        <v>223</v>
      </c>
    </row>
    <row r="49" spans="1:12" x14ac:dyDescent="0.25">
      <c r="A49" t="s">
        <v>136</v>
      </c>
      <c r="B49" t="s">
        <v>137</v>
      </c>
      <c r="C49" t="s">
        <v>11</v>
      </c>
      <c r="D49" t="s">
        <v>273</v>
      </c>
      <c r="E49" t="s">
        <v>244</v>
      </c>
      <c r="F49" t="s">
        <v>274</v>
      </c>
      <c r="G49" t="s">
        <v>40</v>
      </c>
      <c r="H49" t="s">
        <v>40</v>
      </c>
      <c r="I49" t="s">
        <v>153</v>
      </c>
      <c r="J49" s="3" t="s">
        <v>245</v>
      </c>
      <c r="K49" s="4" cm="1">
        <f t="array" ref="K49">_xlfn.IFS(
    OR(F49="Endangered", F49="Threatened"), 1,
    F49="Special Concern", 2,
    OR(G49&lt;&gt;"NA", H49&lt;&gt;"NA", OR(I49="Endangered", I49="Threatened", I49="Special Concern")), 3,
    OR(I49="Not Assessed", I49="Data Deficient", I49="Under Evaluation"), 4,
    I49="Not at Risk", 5
)</f>
        <v>3</v>
      </c>
    </row>
    <row r="50" spans="1:12" x14ac:dyDescent="0.25">
      <c r="A50" t="s">
        <v>138</v>
      </c>
      <c r="B50" t="s">
        <v>139</v>
      </c>
      <c r="C50" t="s">
        <v>11</v>
      </c>
      <c r="D50" t="s">
        <v>273</v>
      </c>
      <c r="E50" t="s">
        <v>205</v>
      </c>
      <c r="F50" t="s">
        <v>150</v>
      </c>
      <c r="G50" t="s">
        <v>40</v>
      </c>
      <c r="H50" t="s">
        <v>40</v>
      </c>
      <c r="I50" t="s">
        <v>156</v>
      </c>
      <c r="J50" s="3" t="s">
        <v>246</v>
      </c>
      <c r="K50" s="4" cm="1">
        <f t="array" ref="K50">_xlfn.IFS(
    OR(F50="Endangered", F50="Threatened"), 1,
    F50="Special Concern", 2,
    OR(G50&lt;&gt;"NA", H50&lt;&gt;"NA", OR(I50="Endangered", I50="Threatened", I50="Special Concern")), 3,
    OR(I50="Not Assessed", I50="Data Deficient", I50="Under Evaluation"), 4,
    I50="Not at Risk", 5
)</f>
        <v>5</v>
      </c>
      <c r="L50" t="s">
        <v>223</v>
      </c>
    </row>
    <row r="51" spans="1:12" x14ac:dyDescent="0.25">
      <c r="A51" t="s">
        <v>140</v>
      </c>
      <c r="B51" t="s">
        <v>141</v>
      </c>
      <c r="C51" t="s">
        <v>11</v>
      </c>
      <c r="D51" t="s">
        <v>273</v>
      </c>
      <c r="E51" t="s">
        <v>205</v>
      </c>
      <c r="F51" t="s">
        <v>150</v>
      </c>
      <c r="G51" t="s">
        <v>40</v>
      </c>
      <c r="H51" t="s">
        <v>40</v>
      </c>
      <c r="I51" t="s">
        <v>156</v>
      </c>
      <c r="J51" s="3" t="s">
        <v>253</v>
      </c>
      <c r="K51" s="4" cm="1">
        <f t="array" ref="K51">_xlfn.IFS(
    OR(F51="Endangered", F51="Threatened"), 1,
    F51="Special Concern", 2,
    OR(G51&lt;&gt;"NA", H51&lt;&gt;"NA", OR(I51="Endangered", I51="Threatened", I51="Special Concern")), 3,
    OR(I51="Not Assessed", I51="Data Deficient", I51="Under Evaluation"), 4,
    I51="Not at Risk", 5
)</f>
        <v>5</v>
      </c>
      <c r="L51" t="s">
        <v>223</v>
      </c>
    </row>
    <row r="52" spans="1:12" x14ac:dyDescent="0.25">
      <c r="A52" t="s">
        <v>142</v>
      </c>
      <c r="B52" t="s">
        <v>143</v>
      </c>
      <c r="C52" t="s">
        <v>11</v>
      </c>
      <c r="D52" t="s">
        <v>273</v>
      </c>
      <c r="E52" t="s">
        <v>205</v>
      </c>
      <c r="F52" t="s">
        <v>150</v>
      </c>
      <c r="G52" t="s">
        <v>40</v>
      </c>
      <c r="H52" t="s">
        <v>40</v>
      </c>
      <c r="I52" t="s">
        <v>156</v>
      </c>
      <c r="J52" s="3" t="s">
        <v>253</v>
      </c>
      <c r="K52" s="4" cm="1">
        <f t="array" ref="K52">_xlfn.IFS(
    OR(F52="Endangered", F52="Threatened"), 1,
    F52="Special Concern", 2,
    OR(G52&lt;&gt;"NA", H52&lt;&gt;"NA", OR(I52="Endangered", I52="Threatened", I52="Special Concern")), 3,
    OR(I52="Not Assessed", I52="Data Deficient", I52="Under Evaluation"), 4,
    I52="Not at Risk", 5
)</f>
        <v>5</v>
      </c>
      <c r="L52" t="s">
        <v>223</v>
      </c>
    </row>
    <row r="53" spans="1:12" x14ac:dyDescent="0.25">
      <c r="A53" t="s">
        <v>261</v>
      </c>
      <c r="B53" t="s">
        <v>262</v>
      </c>
      <c r="C53" t="s">
        <v>11</v>
      </c>
      <c r="D53" t="s">
        <v>273</v>
      </c>
      <c r="E53" t="s">
        <v>205</v>
      </c>
      <c r="F53" t="s">
        <v>150</v>
      </c>
      <c r="G53" t="s">
        <v>40</v>
      </c>
      <c r="H53" t="s">
        <v>40</v>
      </c>
      <c r="I53" t="s">
        <v>156</v>
      </c>
      <c r="J53" s="3" t="s">
        <v>263</v>
      </c>
      <c r="K53" s="4" cm="1">
        <f t="array" ref="K53">_xlfn.IFS(
    OR(F53="Endangered", F53="Threatened"), 1,
    F53="Special Concern", 2,
    OR(G53&lt;&gt;"NA", H53&lt;&gt;"NA", OR(I53="Endangered", I53="Threatened", I53="Special Concern")), 3,
    OR(I53="Not Assessed", I53="Data Deficient", I53="Under Evaluation"), 4,
    I53="Not at Risk", 5
)</f>
        <v>5</v>
      </c>
      <c r="L53" t="s">
        <v>223</v>
      </c>
    </row>
    <row r="54" spans="1:12" x14ac:dyDescent="0.25">
      <c r="A54" t="s">
        <v>259</v>
      </c>
      <c r="B54" t="s">
        <v>260</v>
      </c>
      <c r="C54" t="s">
        <v>11</v>
      </c>
      <c r="D54" t="s">
        <v>273</v>
      </c>
      <c r="E54" t="s">
        <v>205</v>
      </c>
      <c r="F54" t="s">
        <v>150</v>
      </c>
      <c r="G54" t="s">
        <v>40</v>
      </c>
      <c r="H54" t="s">
        <v>40</v>
      </c>
      <c r="I54" t="s">
        <v>156</v>
      </c>
      <c r="J54" s="3" t="s">
        <v>256</v>
      </c>
      <c r="K54" s="4" cm="1">
        <f t="array" ref="K54">_xlfn.IFS(
    OR(F54="Endangered", F54="Threatened"), 1,
    F54="Special Concern", 2,
    OR(G54&lt;&gt;"NA", H54&lt;&gt;"NA", OR(I54="Endangered", I54="Threatened", I54="Special Concern")), 3,
    OR(I54="Not Assessed", I54="Data Deficient", I54="Under Evaluation"), 4,
    I54="Not at Risk", 5
)</f>
        <v>5</v>
      </c>
      <c r="L54" t="s">
        <v>223</v>
      </c>
    </row>
    <row r="55" spans="1:12" x14ac:dyDescent="0.25">
      <c r="A55" t="s">
        <v>257</v>
      </c>
      <c r="B55" t="s">
        <v>258</v>
      </c>
      <c r="C55" t="s">
        <v>11</v>
      </c>
      <c r="D55" t="s">
        <v>273</v>
      </c>
      <c r="E55" t="s">
        <v>205</v>
      </c>
      <c r="F55" t="s">
        <v>150</v>
      </c>
      <c r="G55" t="s">
        <v>40</v>
      </c>
      <c r="H55" t="s">
        <v>40</v>
      </c>
      <c r="I55" t="s">
        <v>156</v>
      </c>
      <c r="J55" s="3" t="s">
        <v>239</v>
      </c>
      <c r="K55" s="4" cm="1">
        <f t="array" ref="K55">_xlfn.IFS(
    OR(F55="Endangered", F55="Threatened"), 1,
    F55="Special Concern", 2,
    OR(G55&lt;&gt;"NA", H55&lt;&gt;"NA", OR(I55="Endangered", I55="Threatened", I55="Special Concern")), 3,
    OR(I55="Not Assessed", I55="Data Deficient", I55="Under Evaluation"), 4,
    I55="Not at Risk", 5
)</f>
        <v>5</v>
      </c>
      <c r="L55" t="s">
        <v>223</v>
      </c>
    </row>
    <row r="56" spans="1:12" x14ac:dyDescent="0.25">
      <c r="A56" t="s">
        <v>254</v>
      </c>
      <c r="B56" t="s">
        <v>255</v>
      </c>
      <c r="C56" t="s">
        <v>11</v>
      </c>
      <c r="D56" t="s">
        <v>273</v>
      </c>
      <c r="E56" t="s">
        <v>205</v>
      </c>
      <c r="F56" t="s">
        <v>150</v>
      </c>
      <c r="G56" t="s">
        <v>40</v>
      </c>
      <c r="H56" t="s">
        <v>40</v>
      </c>
      <c r="I56" t="s">
        <v>156</v>
      </c>
      <c r="J56" s="3" t="s">
        <v>256</v>
      </c>
      <c r="K56" s="4" cm="1">
        <f t="array" ref="K56">_xlfn.IFS(
    OR(F56="Endangered", F56="Threatened"), 1,
    F56="Special Concern", 2,
    OR(G56&lt;&gt;"NA", H56&lt;&gt;"NA", OR(I56="Endangered", I56="Threatened", I56="Special Concern")), 3,
    OR(I56="Not Assessed", I56="Data Deficient", I56="Under Evaluation"), 4,
    I56="Not at Risk", 5
)</f>
        <v>5</v>
      </c>
      <c r="L56" t="s">
        <v>223</v>
      </c>
    </row>
    <row r="57" spans="1:12" x14ac:dyDescent="0.25">
      <c r="A57" t="s">
        <v>144</v>
      </c>
      <c r="B57" t="s">
        <v>145</v>
      </c>
      <c r="C57" t="s">
        <v>12</v>
      </c>
      <c r="D57" t="s">
        <v>273</v>
      </c>
      <c r="E57" t="s">
        <v>216</v>
      </c>
      <c r="F57" t="s">
        <v>150</v>
      </c>
      <c r="G57" t="s">
        <v>151</v>
      </c>
      <c r="H57" t="s">
        <v>40</v>
      </c>
      <c r="I57" t="s">
        <v>153</v>
      </c>
      <c r="J57" s="3" t="s">
        <v>217</v>
      </c>
      <c r="K57" s="4" cm="1">
        <f t="array" ref="K57">_xlfn.IFS(
    OR(F57="Endangered", F57="Threatened"), 1,
    F57="Special Concern", 2,
    OR(G57&lt;&gt;"NA", H57&lt;&gt;"NA", OR(I57="Endangered", I57="Threatened", I57="Special Concern")), 3,
    OR(I57="Not Assessed", I57="Data Deficient", I57="Under Evaluation"), 4,
    I57="Not at Risk", 5
)</f>
        <v>3</v>
      </c>
      <c r="L57" t="s">
        <v>218</v>
      </c>
    </row>
    <row r="58" spans="1:12" x14ac:dyDescent="0.25">
      <c r="A58" t="s">
        <v>161</v>
      </c>
      <c r="B58" t="s">
        <v>162</v>
      </c>
      <c r="C58" t="s">
        <v>12</v>
      </c>
      <c r="D58" t="s">
        <v>273</v>
      </c>
      <c r="E58" t="s">
        <v>205</v>
      </c>
      <c r="F58" t="s">
        <v>150</v>
      </c>
      <c r="G58" t="s">
        <v>40</v>
      </c>
      <c r="H58" t="s">
        <v>40</v>
      </c>
      <c r="I58" t="s">
        <v>156</v>
      </c>
      <c r="J58" s="3" t="s">
        <v>246</v>
      </c>
      <c r="K58" s="4" cm="1">
        <f t="array" ref="K58">_xlfn.IFS(
    OR(F58="Endangered", F58="Threatened"), 1,
    F58="Special Concern", 2,
    OR(G58&lt;&gt;"NA", H58&lt;&gt;"NA", OR(I58="Endangered", I58="Threatened", I58="Special Concern")), 3,
    OR(I58="Not Assessed", I58="Data Deficient", I58="Under Evaluation"), 4,
    I58="Not at Risk", 5
)</f>
        <v>5</v>
      </c>
      <c r="L58" t="s">
        <v>227</v>
      </c>
    </row>
    <row r="59" spans="1:12" x14ac:dyDescent="0.25">
      <c r="A59" t="s">
        <v>160</v>
      </c>
      <c r="B59" t="s">
        <v>163</v>
      </c>
      <c r="C59" t="s">
        <v>12</v>
      </c>
      <c r="D59" t="s">
        <v>273</v>
      </c>
      <c r="E59" t="s">
        <v>205</v>
      </c>
      <c r="F59" t="s">
        <v>150</v>
      </c>
      <c r="G59" t="s">
        <v>40</v>
      </c>
      <c r="H59" t="s">
        <v>40</v>
      </c>
      <c r="I59" t="s">
        <v>164</v>
      </c>
      <c r="J59" s="3" t="s">
        <v>240</v>
      </c>
      <c r="K59" s="4" cm="1">
        <f t="array" ref="K59">_xlfn.IFS(
    OR(F59="Endangered", F59="Threatened"), 1,
    F59="Special Concern", 2,
    OR(G59&lt;&gt;"NA", H59&lt;&gt;"NA", OR(I59="Endangered", I59="Threatened", I59="Special Concern")), 3,
    OR(I59="Not Assessed", I59="Data Deficient", I59="Under Evaluation"), 4,
    I59="Not at Risk", 5
)</f>
        <v>4</v>
      </c>
      <c r="L59" t="s">
        <v>227</v>
      </c>
    </row>
    <row r="60" spans="1:12" x14ac:dyDescent="0.25">
      <c r="A60" t="s">
        <v>146</v>
      </c>
      <c r="B60" t="s">
        <v>147</v>
      </c>
      <c r="C60" t="s">
        <v>49</v>
      </c>
      <c r="D60" t="s">
        <v>273</v>
      </c>
      <c r="E60" t="s">
        <v>205</v>
      </c>
      <c r="F60" t="s">
        <v>150</v>
      </c>
      <c r="G60" t="s">
        <v>40</v>
      </c>
      <c r="H60" t="s">
        <v>40</v>
      </c>
      <c r="I60" t="s">
        <v>156</v>
      </c>
      <c r="J60" s="3" t="s">
        <v>264</v>
      </c>
      <c r="K60" s="4" cm="1">
        <f t="array" ref="K60">_xlfn.IFS(
    OR(F60="Endangered", F60="Threatened"), 1,
    F60="Special Concern", 2,
    OR(G60&lt;&gt;"NA", H60&lt;&gt;"NA", OR(I60="Endangered", I60="Threatened", I60="Special Concern")), 3,
    OR(I60="Not Assessed", I60="Data Deficient", I60="Under Evaluation"), 4,
    I60="Not at Risk", 5
)</f>
        <v>5</v>
      </c>
      <c r="L60" t="s">
        <v>223</v>
      </c>
    </row>
    <row r="61" spans="1:12" x14ac:dyDescent="0.25">
      <c r="A61" t="s">
        <v>148</v>
      </c>
      <c r="B61" t="s">
        <v>149</v>
      </c>
      <c r="C61" t="s">
        <v>49</v>
      </c>
      <c r="D61" t="s">
        <v>273</v>
      </c>
      <c r="E61" t="s">
        <v>265</v>
      </c>
      <c r="F61" t="s">
        <v>150</v>
      </c>
      <c r="G61" t="s">
        <v>40</v>
      </c>
      <c r="H61" t="s">
        <v>40</v>
      </c>
      <c r="I61" t="s">
        <v>156</v>
      </c>
      <c r="J61" s="3" t="s">
        <v>266</v>
      </c>
      <c r="K61" s="4" cm="1">
        <f t="array" ref="K61">_xlfn.IFS(
    OR(F61="Endangered", F61="Threatened"), 1,
    F61="Special Concern", 2,
    OR(G61&lt;&gt;"NA", H61&lt;&gt;"NA", OR(I61="Endangered", I61="Threatened", I61="Special Concern")), 3,
    OR(I61="Not Assessed", I61="Data Deficient", I61="Under Evaluation"), 4,
    I61="Not at Risk", 5
)</f>
        <v>5</v>
      </c>
      <c r="L61" t="s">
        <v>223</v>
      </c>
    </row>
    <row r="62" spans="1:12" x14ac:dyDescent="0.25">
      <c r="A62" t="s">
        <v>158</v>
      </c>
      <c r="B62" t="s">
        <v>159</v>
      </c>
      <c r="C62" t="s">
        <v>49</v>
      </c>
      <c r="D62" t="s">
        <v>273</v>
      </c>
      <c r="E62" t="s">
        <v>40</v>
      </c>
      <c r="F62" t="s">
        <v>150</v>
      </c>
      <c r="G62" t="s">
        <v>40</v>
      </c>
      <c r="H62" t="s">
        <v>40</v>
      </c>
      <c r="I62" t="s">
        <v>154</v>
      </c>
      <c r="J62" s="3" t="s">
        <v>40</v>
      </c>
      <c r="K62" s="4" cm="1">
        <f t="array" ref="K62">_xlfn.IFS(
    OR(F62="Endangered", F62="Threatened"), 1,
    F62="Special Concern", 2,
    OR(G62&lt;&gt;"NA", H62&lt;&gt;"NA", OR(I62="Endangered", I62="Threatened", I62="Special Concern")), 3,
    OR(I62="Not Assessed", I62="Data Deficient", I62="Under Evaluation"), 4,
    I62="Not at Risk", 5
)</f>
        <v>4</v>
      </c>
      <c r="L62" t="s">
        <v>227</v>
      </c>
    </row>
  </sheetData>
  <sheetProtection algorithmName="SHA-512" hashValue="S78YTObBidXvL611zB57wY114LIHRjQfePgBV5zN9h3NPOgSdM0TNCbmxFCeoekgxg/KesOuj9b1ueLdlc2Bqw==" saltValue="COlD7c0v3oLrQfcGIsxOLg==" spinCount="100000" sheet="1" objects="1" scenarios="1" formatCells="0" formatColumns="0" formatRows="0" sort="0"/>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D74E2-0D86-4C87-BC63-75F36FA81276}">
  <dimension ref="A1:B66"/>
  <sheetViews>
    <sheetView zoomScaleNormal="100" workbookViewId="0"/>
  </sheetViews>
  <sheetFormatPr defaultRowHeight="15" x14ac:dyDescent="0.25"/>
  <cols>
    <col min="1" max="1" width="31.140625" bestFit="1" customWidth="1"/>
    <col min="2" max="2" width="101" customWidth="1"/>
  </cols>
  <sheetData>
    <row r="1" spans="1:2" s="1" customFormat="1" x14ac:dyDescent="0.25">
      <c r="A1" s="1" t="s">
        <v>0</v>
      </c>
      <c r="B1" s="1" t="s">
        <v>18</v>
      </c>
    </row>
    <row r="2" spans="1:2" x14ac:dyDescent="0.25">
      <c r="A2" t="s">
        <v>8</v>
      </c>
      <c r="B2" t="s">
        <v>26</v>
      </c>
    </row>
    <row r="3" spans="1:2" x14ac:dyDescent="0.25">
      <c r="A3" t="s">
        <v>11</v>
      </c>
      <c r="B3" t="s">
        <v>310</v>
      </c>
    </row>
    <row r="4" spans="1:2" x14ac:dyDescent="0.25">
      <c r="A4" t="s">
        <v>12</v>
      </c>
      <c r="B4" t="s">
        <v>27</v>
      </c>
    </row>
    <row r="5" spans="1:2" x14ac:dyDescent="0.25">
      <c r="A5" t="s">
        <v>49</v>
      </c>
      <c r="B5" t="s">
        <v>50</v>
      </c>
    </row>
    <row r="6" spans="1:2" x14ac:dyDescent="0.25">
      <c r="A6" t="s">
        <v>167</v>
      </c>
      <c r="B6" t="s">
        <v>170</v>
      </c>
    </row>
    <row r="7" spans="1:2" x14ac:dyDescent="0.25">
      <c r="A7" t="s">
        <v>171</v>
      </c>
      <c r="B7" t="s">
        <v>173</v>
      </c>
    </row>
    <row r="8" spans="1:2" x14ac:dyDescent="0.25">
      <c r="A8" t="s">
        <v>172</v>
      </c>
      <c r="B8" t="s">
        <v>174</v>
      </c>
    </row>
    <row r="9" spans="1:2" x14ac:dyDescent="0.25">
      <c r="A9" t="s">
        <v>177</v>
      </c>
      <c r="B9" t="s">
        <v>313</v>
      </c>
    </row>
    <row r="10" spans="1:2" x14ac:dyDescent="0.25">
      <c r="A10" t="s">
        <v>13</v>
      </c>
      <c r="B10" t="s">
        <v>30</v>
      </c>
    </row>
    <row r="11" spans="1:2" x14ac:dyDescent="0.25">
      <c r="A11" t="s">
        <v>28</v>
      </c>
      <c r="B11" t="s">
        <v>29</v>
      </c>
    </row>
    <row r="12" spans="1:2" x14ac:dyDescent="0.25">
      <c r="A12" t="s">
        <v>31</v>
      </c>
      <c r="B12" t="s">
        <v>32</v>
      </c>
    </row>
    <row r="13" spans="1:2" x14ac:dyDescent="0.25">
      <c r="A13" t="s">
        <v>289</v>
      </c>
      <c r="B13" t="s">
        <v>290</v>
      </c>
    </row>
    <row r="14" spans="1:2" x14ac:dyDescent="0.25">
      <c r="A14" t="s">
        <v>298</v>
      </c>
      <c r="B14" t="s">
        <v>299</v>
      </c>
    </row>
    <row r="15" spans="1:2" x14ac:dyDescent="0.25">
      <c r="A15" t="s">
        <v>33</v>
      </c>
      <c r="B15" t="s">
        <v>34</v>
      </c>
    </row>
    <row r="16" spans="1:2" x14ac:dyDescent="0.25">
      <c r="A16" t="s">
        <v>35</v>
      </c>
      <c r="B16" t="s">
        <v>36</v>
      </c>
    </row>
    <row r="17" spans="1:2" x14ac:dyDescent="0.25">
      <c r="A17" t="s">
        <v>300</v>
      </c>
      <c r="B17" t="s">
        <v>301</v>
      </c>
    </row>
    <row r="19" spans="1:2" s="1" customFormat="1" x14ac:dyDescent="0.25">
      <c r="A19" s="1" t="s">
        <v>1</v>
      </c>
      <c r="B19" s="1" t="s">
        <v>18</v>
      </c>
    </row>
    <row r="20" spans="1:2" s="2" customFormat="1" x14ac:dyDescent="0.25">
      <c r="A20" s="2" t="s">
        <v>4</v>
      </c>
      <c r="B20" s="2" t="s">
        <v>23</v>
      </c>
    </row>
    <row r="21" spans="1:2" s="2" customFormat="1" x14ac:dyDescent="0.25">
      <c r="A21" s="2" t="s">
        <v>14</v>
      </c>
      <c r="B21" s="2" t="s">
        <v>24</v>
      </c>
    </row>
    <row r="22" spans="1:2" s="2" customFormat="1" x14ac:dyDescent="0.25">
      <c r="A22" s="2" t="s">
        <v>175</v>
      </c>
      <c r="B22" s="2" t="s">
        <v>186</v>
      </c>
    </row>
    <row r="23" spans="1:2" s="2" customFormat="1" x14ac:dyDescent="0.25">
      <c r="A23" s="2" t="s">
        <v>17</v>
      </c>
      <c r="B23" s="2" t="s">
        <v>187</v>
      </c>
    </row>
    <row r="24" spans="1:2" s="2" customFormat="1" x14ac:dyDescent="0.25">
      <c r="A24" s="2" t="s">
        <v>9</v>
      </c>
      <c r="B24" s="2" t="s">
        <v>25</v>
      </c>
    </row>
    <row r="26" spans="1:2" s="1" customFormat="1" x14ac:dyDescent="0.25">
      <c r="A26" s="1" t="s">
        <v>2</v>
      </c>
      <c r="B26" s="1" t="s">
        <v>18</v>
      </c>
    </row>
    <row r="27" spans="1:2" x14ac:dyDescent="0.25">
      <c r="A27" t="s">
        <v>5</v>
      </c>
      <c r="B27" t="s">
        <v>19</v>
      </c>
    </row>
    <row r="28" spans="1:2" x14ac:dyDescent="0.25">
      <c r="A28" t="s">
        <v>15</v>
      </c>
      <c r="B28" t="s">
        <v>165</v>
      </c>
    </row>
    <row r="29" spans="1:2" x14ac:dyDescent="0.25">
      <c r="A29" t="s">
        <v>168</v>
      </c>
      <c r="B29" t="s">
        <v>188</v>
      </c>
    </row>
    <row r="30" spans="1:2" x14ac:dyDescent="0.25">
      <c r="A30" t="s">
        <v>178</v>
      </c>
      <c r="B30" t="s">
        <v>189</v>
      </c>
    </row>
    <row r="31" spans="1:2" x14ac:dyDescent="0.25">
      <c r="A31" t="s">
        <v>16</v>
      </c>
      <c r="B31" t="s">
        <v>20</v>
      </c>
    </row>
    <row r="32" spans="1:2" x14ac:dyDescent="0.25">
      <c r="A32" t="s">
        <v>21</v>
      </c>
      <c r="B32" t="s">
        <v>22</v>
      </c>
    </row>
    <row r="34" spans="1:2" s="1" customFormat="1" x14ac:dyDescent="0.25">
      <c r="A34" s="1" t="s">
        <v>3</v>
      </c>
      <c r="B34" s="1" t="s">
        <v>18</v>
      </c>
    </row>
    <row r="35" spans="1:2" x14ac:dyDescent="0.25">
      <c r="A35" t="s">
        <v>6</v>
      </c>
      <c r="B35" t="s">
        <v>37</v>
      </c>
    </row>
    <row r="36" spans="1:2" ht="16.5" x14ac:dyDescent="0.25">
      <c r="A36" t="s">
        <v>10</v>
      </c>
      <c r="B36" t="s">
        <v>42</v>
      </c>
    </row>
    <row r="37" spans="1:2" x14ac:dyDescent="0.25">
      <c r="A37" t="s">
        <v>38</v>
      </c>
      <c r="B37" t="s">
        <v>39</v>
      </c>
    </row>
    <row r="39" spans="1:2" x14ac:dyDescent="0.25">
      <c r="A39" s="1" t="s">
        <v>176</v>
      </c>
      <c r="B39" s="1" t="s">
        <v>18</v>
      </c>
    </row>
    <row r="40" spans="1:2" x14ac:dyDescent="0.25">
      <c r="A40">
        <v>1</v>
      </c>
      <c r="B40" s="2" t="s">
        <v>190</v>
      </c>
    </row>
    <row r="41" spans="1:2" x14ac:dyDescent="0.25">
      <c r="A41">
        <v>0</v>
      </c>
      <c r="B41" s="2" t="s">
        <v>191</v>
      </c>
    </row>
    <row r="42" spans="1:2" x14ac:dyDescent="0.25">
      <c r="A42">
        <v>-1</v>
      </c>
      <c r="B42" s="2" t="s">
        <v>192</v>
      </c>
    </row>
    <row r="43" spans="1:2" x14ac:dyDescent="0.25">
      <c r="B43" s="2"/>
    </row>
    <row r="44" spans="1:2" s="1" customFormat="1" x14ac:dyDescent="0.25">
      <c r="A44" s="1" t="s">
        <v>208</v>
      </c>
      <c r="B44" s="1" t="s">
        <v>18</v>
      </c>
    </row>
    <row r="45" spans="1:2" s="1" customFormat="1" x14ac:dyDescent="0.25">
      <c r="A45" s="2" t="s">
        <v>152</v>
      </c>
      <c r="B45" s="2" t="s">
        <v>320</v>
      </c>
    </row>
    <row r="46" spans="1:2" s="1" customFormat="1" x14ac:dyDescent="0.25">
      <c r="A46" s="2" t="s">
        <v>151</v>
      </c>
      <c r="B46" s="2" t="s">
        <v>321</v>
      </c>
    </row>
    <row r="47" spans="1:2" s="1" customFormat="1" x14ac:dyDescent="0.25">
      <c r="A47" s="2" t="s">
        <v>153</v>
      </c>
      <c r="B47" s="2" t="s">
        <v>322</v>
      </c>
    </row>
    <row r="48" spans="1:2" x14ac:dyDescent="0.25">
      <c r="A48" t="s">
        <v>150</v>
      </c>
      <c r="B48" s="2" t="s">
        <v>302</v>
      </c>
    </row>
    <row r="49" spans="1:2" x14ac:dyDescent="0.25">
      <c r="A49" t="s">
        <v>274</v>
      </c>
      <c r="B49" s="2" t="s">
        <v>303</v>
      </c>
    </row>
    <row r="50" spans="1:2" x14ac:dyDescent="0.25">
      <c r="A50" t="s">
        <v>275</v>
      </c>
      <c r="B50" s="2" t="s">
        <v>304</v>
      </c>
    </row>
    <row r="51" spans="1:2" x14ac:dyDescent="0.25">
      <c r="B51" s="2"/>
    </row>
    <row r="52" spans="1:2" s="1" customFormat="1" x14ac:dyDescent="0.25">
      <c r="A52" s="1" t="s">
        <v>200</v>
      </c>
      <c r="B52" s="1" t="s">
        <v>18</v>
      </c>
    </row>
    <row r="53" spans="1:2" x14ac:dyDescent="0.25">
      <c r="A53" t="s">
        <v>152</v>
      </c>
      <c r="B53" s="2" t="s">
        <v>315</v>
      </c>
    </row>
    <row r="54" spans="1:2" x14ac:dyDescent="0.25">
      <c r="A54" t="s">
        <v>151</v>
      </c>
      <c r="B54" s="2" t="s">
        <v>316</v>
      </c>
    </row>
    <row r="55" spans="1:2" x14ac:dyDescent="0.25">
      <c r="A55" t="s">
        <v>153</v>
      </c>
      <c r="B55" s="2" t="s">
        <v>317</v>
      </c>
    </row>
    <row r="56" spans="1:2" x14ac:dyDescent="0.25">
      <c r="A56" t="s">
        <v>156</v>
      </c>
      <c r="B56" s="2" t="s">
        <v>318</v>
      </c>
    </row>
    <row r="57" spans="1:2" x14ac:dyDescent="0.25">
      <c r="A57" t="s">
        <v>164</v>
      </c>
      <c r="B57" s="2" t="s">
        <v>319</v>
      </c>
    </row>
    <row r="58" spans="1:2" x14ac:dyDescent="0.25">
      <c r="A58" t="s">
        <v>154</v>
      </c>
      <c r="B58" s="2" t="s">
        <v>314</v>
      </c>
    </row>
    <row r="59" spans="1:2" x14ac:dyDescent="0.25">
      <c r="A59" t="s">
        <v>155</v>
      </c>
      <c r="B59" s="2" t="s">
        <v>323</v>
      </c>
    </row>
    <row r="61" spans="1:2" s="1" customFormat="1" x14ac:dyDescent="0.25">
      <c r="A61" s="1" t="s">
        <v>54</v>
      </c>
      <c r="B61" s="1" t="s">
        <v>18</v>
      </c>
    </row>
    <row r="62" spans="1:2" x14ac:dyDescent="0.25">
      <c r="A62">
        <v>1</v>
      </c>
      <c r="B62" t="s">
        <v>308</v>
      </c>
    </row>
    <row r="63" spans="1:2" x14ac:dyDescent="0.25">
      <c r="A63">
        <v>2</v>
      </c>
      <c r="B63" t="s">
        <v>307</v>
      </c>
    </row>
    <row r="64" spans="1:2" x14ac:dyDescent="0.25">
      <c r="A64">
        <v>3</v>
      </c>
      <c r="B64" t="s">
        <v>306</v>
      </c>
    </row>
    <row r="65" spans="1:2" x14ac:dyDescent="0.25">
      <c r="A65">
        <v>4</v>
      </c>
      <c r="B65" t="s">
        <v>309</v>
      </c>
    </row>
    <row r="66" spans="1:2" x14ac:dyDescent="0.25">
      <c r="A66">
        <v>5</v>
      </c>
      <c r="B66" t="s">
        <v>305</v>
      </c>
    </row>
  </sheetData>
  <sheetProtection algorithmName="SHA-512" hashValue="WzFjtiJVDElHeuNS04O5trgi9NZELHQjLl8WMEY7S7F+wQpACzZABEaAwfuuAJk12KEx/HkJ1D6JK1bAIJ403w==" saltValue="L7kxTWRelWGeHc4HMRBY7g==" spinCount="100000" sheet="1" objects="1" scenarios="1" formatCells="0" formatColumns="0" formatRows="0"/>
  <pageMargins left="0.7" right="0.7" top="0.75" bottom="0.75" header="0.3" footer="0.3"/>
  <pageSetup orientation="portrait" r:id="rId1"/>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14791-1E87-4DC5-A87E-5D7A8E2FDF43}">
  <dimension ref="A1:B11"/>
  <sheetViews>
    <sheetView workbookViewId="0"/>
  </sheetViews>
  <sheetFormatPr defaultRowHeight="15" x14ac:dyDescent="0.25"/>
  <cols>
    <col min="1" max="1" width="24" bestFit="1" customWidth="1"/>
    <col min="2" max="2" width="10.42578125" bestFit="1" customWidth="1"/>
  </cols>
  <sheetData>
    <row r="1" spans="1:2" s="1" customFormat="1" x14ac:dyDescent="0.25">
      <c r="A1" s="1" t="s">
        <v>166</v>
      </c>
      <c r="B1" s="1" t="s">
        <v>7</v>
      </c>
    </row>
    <row r="2" spans="1:2" x14ac:dyDescent="0.25">
      <c r="A2" t="s">
        <v>180</v>
      </c>
      <c r="B2" t="s">
        <v>183</v>
      </c>
    </row>
    <row r="3" spans="1:2" x14ac:dyDescent="0.25">
      <c r="A3" t="s">
        <v>181</v>
      </c>
      <c r="B3" t="s">
        <v>184</v>
      </c>
    </row>
    <row r="4" spans="1:2" x14ac:dyDescent="0.25">
      <c r="A4" t="s">
        <v>182</v>
      </c>
      <c r="B4" t="s">
        <v>185</v>
      </c>
    </row>
    <row r="5" spans="1:2" x14ac:dyDescent="0.25">
      <c r="A5" t="s">
        <v>286</v>
      </c>
      <c r="B5" t="s">
        <v>291</v>
      </c>
    </row>
    <row r="6" spans="1:2" x14ac:dyDescent="0.25">
      <c r="A6" t="s">
        <v>285</v>
      </c>
      <c r="B6" t="s">
        <v>292</v>
      </c>
    </row>
    <row r="7" spans="1:2" x14ac:dyDescent="0.25">
      <c r="A7" t="s">
        <v>293</v>
      </c>
      <c r="B7" t="s">
        <v>294</v>
      </c>
    </row>
    <row r="8" spans="1:2" x14ac:dyDescent="0.25">
      <c r="A8" t="s">
        <v>288</v>
      </c>
      <c r="B8" t="s">
        <v>295</v>
      </c>
    </row>
    <row r="9" spans="1:2" x14ac:dyDescent="0.25">
      <c r="A9" t="s">
        <v>271</v>
      </c>
      <c r="B9" t="s">
        <v>296</v>
      </c>
    </row>
    <row r="10" spans="1:2" x14ac:dyDescent="0.25">
      <c r="A10" t="s">
        <v>273</v>
      </c>
      <c r="B10" t="s">
        <v>297</v>
      </c>
    </row>
    <row r="11" spans="1:2" x14ac:dyDescent="0.25">
      <c r="A11" t="s">
        <v>311</v>
      </c>
      <c r="B11" t="s">
        <v>312</v>
      </c>
    </row>
  </sheetData>
  <sheetProtection algorithmName="SHA-512" hashValue="MHkRv+DR/JM5Tx02I/OuyR+zLWhP8pOjX7YAfHrtdnR9FToYvxos3MJMVNQvee58fmqxu0JW0YalIKLey5kfAw==" saltValue="BvwDF6UZb/E/p/0WN6g29g==" spinCount="100000" sheet="1" objects="1" scenarios="1" formatCells="0" formatColumns="0" formatRows="0" sort="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Thresholds</vt:lpstr>
      <vt:lpstr>NMFS2024_MammalWeightingParams</vt:lpstr>
      <vt:lpstr>Species</vt:lpstr>
      <vt:lpstr>Info</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Beslin, Wilfried (DFO/MPO)</dc:creator>
  <cp:lastModifiedBy>Beslin, Wilfried (DFO/MPO)</cp:lastModifiedBy>
  <dcterms:created xsi:type="dcterms:W3CDTF">2026-06-08T12:58:57Z</dcterms:created>
  <dcterms:modified xsi:type="dcterms:W3CDTF">2026-06-17T19:40:03Z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2026-06-08T14:51:34Z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894b61f6-52e1-4606-a90d-fdb456bac00b</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